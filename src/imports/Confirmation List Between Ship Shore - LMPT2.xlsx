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omments1.xml" ContentType="application/vnd.openxmlformats-officedocument.spreadsheetml.comments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Marine T2\Improvement\SSCS website\FIGMA\lng_vessel_supabase\src\imports\"/>
    </mc:Choice>
  </mc:AlternateContent>
  <xr:revisionPtr revIDLastSave="0" documentId="13_ncr:1_{6C202B9E-202B-493E-9683-A0D964F14591}" xr6:coauthVersionLast="47" xr6:coauthVersionMax="47" xr10:uidLastSave="{00000000-0000-0000-0000-000000000000}"/>
  <bookViews>
    <workbookView xWindow="-108" yWindow="-108" windowWidth="23256" windowHeight="13896" firstSheet="2" activeTab="9" xr2:uid="{00000000-000D-0000-FFFF-FFFF00000000}"/>
  </bookViews>
  <sheets>
    <sheet name="cover" sheetId="2" r:id="rId1"/>
    <sheet name="sumary&amp;directory" sheetId="3" r:id="rId2"/>
    <sheet name="page 1" sheetId="4" r:id="rId3"/>
    <sheet name="page 2" sheetId="5" r:id="rId4"/>
    <sheet name="page 3" sheetId="6" r:id="rId5"/>
    <sheet name="page 4" sheetId="7" r:id="rId6"/>
    <sheet name="page 5" sheetId="8" r:id="rId7"/>
    <sheet name="page 6" sheetId="9" r:id="rId8"/>
    <sheet name="Appendix A" sheetId="10" r:id="rId9"/>
    <sheet name="Appendix B" sheetId="11" r:id="rId10"/>
  </sheets>
  <definedNames>
    <definedName name="_Hlk9994321" localSheetId="2">'page 1'!#REF!</definedName>
    <definedName name="_xlnm.Print_Area" localSheetId="8">'Appendix A'!$A$1:$AT$65</definedName>
    <definedName name="_xlnm.Print_Area" localSheetId="9">'Appendix B'!$A$1:$AJ$51</definedName>
    <definedName name="_xlnm.Print_Area" localSheetId="0">cover!$A$1:$R$39</definedName>
    <definedName name="_xlnm.Print_Area" localSheetId="2">'page 1'!$A$1:$AW$77</definedName>
    <definedName name="_xlnm.Print_Area" localSheetId="3">'page 2'!$A$1:$AX$84</definedName>
    <definedName name="_xlnm.Print_Area" localSheetId="4">'page 3'!$A$1:$AU$72</definedName>
    <definedName name="_xlnm.Print_Area" localSheetId="5">'page 4'!$A$1:$AU$79</definedName>
    <definedName name="_xlnm.Print_Area" localSheetId="6">'page 5'!$A$1:$AV$77</definedName>
    <definedName name="_xlnm.Print_Area" localSheetId="1">'sumary&amp;directory'!$A$1:$AV$51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9" i="11" l="1"/>
  <c r="O42" i="11"/>
  <c r="O36" i="11"/>
  <c r="O33" i="11"/>
  <c r="O30" i="11"/>
  <c r="B28" i="11"/>
  <c r="AA32" i="9"/>
  <c r="AA23" i="9"/>
  <c r="AA15" i="9"/>
  <c r="AA7" i="9"/>
  <c r="T24" i="3" s="1"/>
  <c r="AB10" i="8"/>
  <c r="AB9" i="8"/>
  <c r="AB8" i="8"/>
  <c r="AB13" i="8" s="1"/>
  <c r="AE13" i="8" s="1"/>
  <c r="AG46" i="7"/>
  <c r="AB40" i="6"/>
  <c r="AE40" i="6" s="1"/>
  <c r="AS39" i="6"/>
  <c r="AP39" i="6"/>
  <c r="K29" i="3" s="1"/>
  <c r="AB39" i="6"/>
  <c r="AS38" i="6"/>
  <c r="AP38" i="6"/>
  <c r="AB37" i="6"/>
  <c r="AP36" i="6"/>
  <c r="AB36" i="6"/>
  <c r="AP35" i="6"/>
  <c r="AB35" i="6"/>
  <c r="AE27" i="6"/>
  <c r="AE26" i="6"/>
  <c r="K15" i="3" s="1"/>
  <c r="AB23" i="6"/>
  <c r="T15" i="3" s="1"/>
  <c r="AX70" i="5"/>
  <c r="AX64" i="5"/>
  <c r="R53" i="5"/>
  <c r="P53" i="5"/>
  <c r="R52" i="5"/>
  <c r="P52" i="5"/>
  <c r="N52" i="5"/>
  <c r="N53" i="5" s="1"/>
  <c r="R50" i="5"/>
  <c r="P50" i="5"/>
  <c r="N50" i="5"/>
  <c r="AZ46" i="5"/>
  <c r="AW46" i="5"/>
  <c r="BA46" i="5" s="1"/>
  <c r="AA41" i="5" s="1"/>
  <c r="AK46" i="5"/>
  <c r="AW41" i="5"/>
  <c r="M37" i="5"/>
  <c r="Q35" i="5"/>
  <c r="Q34" i="5"/>
  <c r="AU27" i="5"/>
  <c r="AS27" i="5"/>
  <c r="AW27" i="5" s="1"/>
  <c r="AU26" i="5"/>
  <c r="AW18" i="5" s="1" a="1"/>
  <c r="AW18" i="5" s="1"/>
  <c r="T10" i="3" s="1"/>
  <c r="AS26" i="5"/>
  <c r="AU25" i="5"/>
  <c r="AS25" i="5"/>
  <c r="AW25" i="5" s="1"/>
  <c r="AU24" i="5"/>
  <c r="AS24" i="5"/>
  <c r="AW24" i="5" s="1"/>
  <c r="AZ14" i="5"/>
  <c r="AW14" i="5"/>
  <c r="AU14" i="5"/>
  <c r="AS14" i="5"/>
  <c r="AU13" i="5"/>
  <c r="AS13" i="5"/>
  <c r="AW13" i="5" s="1"/>
  <c r="AU12" i="5"/>
  <c r="AS12" i="5"/>
  <c r="AW12" i="5" s="1"/>
  <c r="AZ11" i="5"/>
  <c r="AW11" i="5"/>
  <c r="AU11" i="5"/>
  <c r="AW5" i="5" s="1" a="1"/>
  <c r="AW5" i="5" s="1"/>
  <c r="T9" i="3" s="1"/>
  <c r="AS11" i="5"/>
  <c r="K27" i="3"/>
  <c r="K26" i="3"/>
  <c r="T25" i="3"/>
  <c r="K25" i="3"/>
  <c r="K24" i="3"/>
  <c r="K23" i="3"/>
  <c r="K22" i="3"/>
  <c r="K20" i="3"/>
  <c r="K19" i="3"/>
  <c r="T18" i="3"/>
  <c r="K18" i="3"/>
  <c r="K17" i="3"/>
  <c r="K14" i="3"/>
  <c r="K13" i="3"/>
  <c r="K12" i="3"/>
  <c r="T11" i="3"/>
  <c r="K8" i="3"/>
  <c r="K7" i="3"/>
  <c r="K6" i="3"/>
  <c r="K5" i="3"/>
  <c r="C19" i="2"/>
  <c r="AZ24" i="5" l="1"/>
  <c r="K11" i="3"/>
  <c r="AZ12" i="5"/>
  <c r="K9" i="3" s="1"/>
  <c r="AZ25" i="5"/>
  <c r="AZ13" i="5"/>
  <c r="AZ27" i="5"/>
  <c r="K28" i="3"/>
  <c r="AB12" i="8"/>
  <c r="AE39" i="6"/>
  <c r="AW26" i="5"/>
  <c r="K30" i="3"/>
  <c r="AO40" i="6"/>
  <c r="T27" i="3" s="1"/>
  <c r="AO41" i="6"/>
  <c r="T29" i="3" s="1"/>
  <c r="AZ26" i="5" l="1"/>
  <c r="K10" i="3" s="1"/>
  <c r="K16" i="3"/>
  <c r="AE12" i="8"/>
  <c r="AA41" i="6"/>
  <c r="T16" i="3" s="1"/>
  <c r="K21" i="3" l="1"/>
  <c r="AA14" i="8"/>
  <c r="T21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Rodal Erik</author>
  </authors>
  <commentList>
    <comment ref="S48" authorId="0" shapeId="0" xr:uid="{87B43006-F764-4435-873A-BAD147BA91DC}">
      <text>
        <r>
          <rPr>
            <b/>
            <sz val="9"/>
            <color indexed="81"/>
            <rFont val="Tahoma"/>
            <family val="2"/>
          </rPr>
          <t>Rodal Erik:</t>
        </r>
        <r>
          <rPr>
            <sz val="9"/>
            <color indexed="81"/>
            <rFont val="Tahoma"/>
            <family val="2"/>
          </rPr>
          <t xml:space="preserve">
3.0m is min. for 145,000 and 165,000 ships. 3.5m is min. for 210,000 and 266,000 Qatargas ships. </t>
        </r>
      </text>
    </comment>
    <comment ref="S49" authorId="0" shapeId="0" xr:uid="{63415B42-E528-44C3-AA27-214FF26FF30D}">
      <text>
        <r>
          <rPr>
            <b/>
            <sz val="9"/>
            <color indexed="81"/>
            <rFont val="Tahoma"/>
            <family val="2"/>
          </rPr>
          <t>Rodal Erik:</t>
        </r>
        <r>
          <rPr>
            <sz val="9"/>
            <color indexed="81"/>
            <rFont val="Tahoma"/>
            <family val="2"/>
          </rPr>
          <t xml:space="preserve">
3.0m is max for 125,000 ship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<sst xmlns="http://schemas.openxmlformats.org/spreadsheetml/2006/main" count="1590" uniqueCount="759">
  <si>
    <t>Reference 1- Confirmation List between Ship - Shore</t>
  </si>
  <si>
    <t>CONFIRMATION LIST BETWEEN SHIP- SHORE</t>
  </si>
  <si>
    <t>For</t>
  </si>
  <si>
    <t>and</t>
  </si>
  <si>
    <t>"LNG Map Ta Phut Terminal 2"</t>
  </si>
  <si>
    <t>(4) Clearence between flange and ship's side:</t>
  </si>
  <si>
    <t>Confirmation List Between Ship-Shore (Berth # 1)</t>
  </si>
  <si>
    <t>Page</t>
  </si>
  <si>
    <t>1/ 9</t>
  </si>
  <si>
    <t>SUMMARY CRITICAL TOPICS</t>
  </si>
  <si>
    <t>CONTENTS</t>
  </si>
  <si>
    <t>ITEM</t>
  </si>
  <si>
    <t>Description</t>
  </si>
  <si>
    <t>Value</t>
  </si>
  <si>
    <t>Condition</t>
  </si>
  <si>
    <t>Remaks / Result</t>
  </si>
  <si>
    <r>
      <t xml:space="preserve">  </t>
    </r>
    <r>
      <rPr>
        <b/>
        <u/>
        <sz val="11"/>
        <rFont val="Tw Cen MT"/>
        <family val="2"/>
      </rPr>
      <t>PAGE</t>
    </r>
  </si>
  <si>
    <t>Ship
Major 
Information</t>
  </si>
  <si>
    <t>Draft Ballast OPTIMOOR</t>
  </si>
  <si>
    <t>Margin Gangway &gt;0.3m</t>
  </si>
  <si>
    <t>I.</t>
  </si>
  <si>
    <t>General Information</t>
  </si>
  <si>
    <t>Appendix</t>
  </si>
  <si>
    <t>Draft Loaded OPTIMOOR</t>
  </si>
  <si>
    <t>&lt;=12.2m</t>
  </si>
  <si>
    <t>1.General</t>
  </si>
  <si>
    <t>Gas Management Primary</t>
  </si>
  <si>
    <t>At least 1 System</t>
  </si>
  <si>
    <t>2. Max. Size of Vessel</t>
  </si>
  <si>
    <t>Appendix A</t>
  </si>
  <si>
    <t>:</t>
  </si>
  <si>
    <t xml:space="preserve">Mooring Arrangement </t>
  </si>
  <si>
    <t>Gas Management Secondary</t>
  </si>
  <si>
    <t>Appendix B</t>
  </si>
  <si>
    <t>Spool piece Drawing</t>
  </si>
  <si>
    <t>MOORING INFORMATION</t>
  </si>
  <si>
    <t>Fender Reaction Ballast</t>
  </si>
  <si>
    <t>-</t>
  </si>
  <si>
    <t>II.</t>
  </si>
  <si>
    <t>Fender / Flat Body</t>
  </si>
  <si>
    <t>Fender Reaction Loaded</t>
  </si>
  <si>
    <t>1. Arrangement</t>
  </si>
  <si>
    <t>Berthing Energy &amp; Fender Absorb Percentage</t>
  </si>
  <si>
    <t>2. Fender / Contact Area design</t>
  </si>
  <si>
    <t>Type of MOORING Rope</t>
  </si>
  <si>
    <t>3. Berthing Energy</t>
  </si>
  <si>
    <t>Type of Tail Rope</t>
  </si>
  <si>
    <t>4. Approaching Speed Meter</t>
  </si>
  <si>
    <t>Mooring Pattern</t>
  </si>
  <si>
    <t>Gangway &amp; 
Manifolds</t>
  </si>
  <si>
    <t>Gangway Area Clearance (Dimension only)</t>
  </si>
  <si>
    <t>Positive Value</t>
  </si>
  <si>
    <t>III.</t>
  </si>
  <si>
    <t>Mooring Arrangement</t>
  </si>
  <si>
    <t>Gangway Margin Upper, Lower</t>
  </si>
  <si>
    <t>1. Mooring Facilities (Hooks / Winches)</t>
  </si>
  <si>
    <t>ESD By-Pass Line</t>
  </si>
  <si>
    <t>2. Mooring Layout</t>
  </si>
  <si>
    <t>Manifold Spacing</t>
  </si>
  <si>
    <t>2.5&lt; X &lt;3.5 (m)</t>
  </si>
  <si>
    <t>3. Weather Criteria for Mooring force calculation</t>
  </si>
  <si>
    <t xml:space="preserve">Maximum Flowrate </t>
  </si>
  <si>
    <t>Maximum Manifold Pressure (Operate)</t>
  </si>
  <si>
    <t>Leak and Purge at 
5&amp;1 barg at Liq&amp;Vap.</t>
  </si>
  <si>
    <t>IV.</t>
  </si>
  <si>
    <t>Gangway / Support</t>
  </si>
  <si>
    <t>Manifold Margin Upper, Lower</t>
  </si>
  <si>
    <t>Margin Manifold &gt;0.3m</t>
  </si>
  <si>
    <t>1. Position of Gangway / Details</t>
  </si>
  <si>
    <t>Ship&amp;Shore 
Link</t>
  </si>
  <si>
    <t>SSL Fiber Optic connector type</t>
  </si>
  <si>
    <t>6 Core connector</t>
  </si>
  <si>
    <t>2. Gangway Working Area</t>
  </si>
  <si>
    <t>SSL Electric connector type</t>
  </si>
  <si>
    <t>37 ways pin</t>
  </si>
  <si>
    <t>CTMS</t>
  </si>
  <si>
    <t>Primary Level CTMS</t>
  </si>
  <si>
    <t>+- 7.5 mm.</t>
  </si>
  <si>
    <t>V.</t>
  </si>
  <si>
    <t>Unloading Arm / Cargo Pump / Compressor</t>
  </si>
  <si>
    <t>4-5</t>
  </si>
  <si>
    <t>Secondary Level CTMS</t>
  </si>
  <si>
    <t>1. Unloading Arm / Cargo Pump</t>
  </si>
  <si>
    <t xml:space="preserve"> </t>
  </si>
  <si>
    <t xml:space="preserve">Spool Piece </t>
  </si>
  <si>
    <t>Number of Spool Piece (RDP, SDP) on board</t>
  </si>
  <si>
    <t>&gt;=4 items</t>
  </si>
  <si>
    <t>2. Uoading Arm / Manifold Layout</t>
  </si>
  <si>
    <t>Sunken Bitts</t>
  </si>
  <si>
    <t>Higher Fender Ballast</t>
  </si>
  <si>
    <t>m</t>
  </si>
  <si>
    <t>3.6 m. - 7.6 from m. water Surface</t>
  </si>
  <si>
    <t>3. Unloading Performance</t>
  </si>
  <si>
    <t>Higher Fender Loaded</t>
  </si>
  <si>
    <t>4. Unloading Arm Working Range</t>
  </si>
  <si>
    <t>Lower Fender Ballast</t>
  </si>
  <si>
    <t>5. Instrument Hose (Nitrogen Air / Fresh Water)</t>
  </si>
  <si>
    <t>Lower Fender Loaded</t>
  </si>
  <si>
    <t>Please input Vessel information following Blank in yellow through page1 --&gt; Appendix B</t>
  </si>
  <si>
    <t>VI.</t>
  </si>
  <si>
    <t>Emergency Shut Down System</t>
  </si>
  <si>
    <t>1. Optical Fiber System</t>
  </si>
  <si>
    <t>2. Pneumatic System</t>
  </si>
  <si>
    <t>3. Electric System</t>
  </si>
  <si>
    <t>4. ESD Activation</t>
  </si>
  <si>
    <t>VII.</t>
  </si>
  <si>
    <t>CTMS On board</t>
  </si>
  <si>
    <t>1. Level measurement devices (Primary)</t>
  </si>
  <si>
    <t>2. Level measurement devices (Secondary)</t>
  </si>
  <si>
    <t>3. Temperature measurement devices</t>
  </si>
  <si>
    <t>4. Pressure measurement devices</t>
  </si>
  <si>
    <t>VIII.</t>
  </si>
  <si>
    <t>Fire Fighting System</t>
  </si>
  <si>
    <t>2 / 9</t>
  </si>
  <si>
    <t>Items</t>
  </si>
  <si>
    <t>Shore Specification</t>
  </si>
  <si>
    <t>Ship Specification</t>
  </si>
  <si>
    <t>Remarks</t>
  </si>
  <si>
    <t>I. General information</t>
  </si>
  <si>
    <t xml:space="preserve"> 1. General </t>
  </si>
  <si>
    <t>1.Terminal Name &amp; Etc</t>
  </si>
  <si>
    <t>1.Ship Name &amp; Etc</t>
  </si>
  <si>
    <t xml:space="preserve"> - Country</t>
  </si>
  <si>
    <t>Thailand</t>
  </si>
  <si>
    <t xml:space="preserve"> - Ship's Name</t>
  </si>
  <si>
    <t xml:space="preserve"> - Port name</t>
  </si>
  <si>
    <t xml:space="preserve">Nong Fab LNG Receiving Terminal </t>
  </si>
  <si>
    <t xml:space="preserve"> - IMO number</t>
  </si>
  <si>
    <t xml:space="preserve"> - Berth name</t>
  </si>
  <si>
    <t>Nong Fab LNG Receiving Terminal Berth #1</t>
  </si>
  <si>
    <t xml:space="preserve"> - Call Sign</t>
  </si>
  <si>
    <t xml:space="preserve"> - Name of terminal operating company </t>
  </si>
  <si>
    <t>PTT LNG/PE LNG COMPANY LIMITED</t>
  </si>
  <si>
    <t xml:space="preserve"> - Flag Country</t>
  </si>
  <si>
    <t xml:space="preserve"> - Name / title of person to contact regarding terminal information</t>
  </si>
  <si>
    <t xml:space="preserve"> - Port of registry </t>
  </si>
  <si>
    <t>Name</t>
  </si>
  <si>
    <t>Narudech S / Nawi T</t>
  </si>
  <si>
    <r>
      <t xml:space="preserve"> - Year Built  </t>
    </r>
    <r>
      <rPr>
        <b/>
        <i/>
        <sz val="11"/>
        <color indexed="62"/>
        <rFont val="Tw Cen MT"/>
        <family val="2"/>
      </rPr>
      <t>(Input only year)</t>
    </r>
  </si>
  <si>
    <t>Address</t>
  </si>
  <si>
    <t xml:space="preserve">8/2, Rong pui Road, Map Ta Phut Industrial Estate </t>
  </si>
  <si>
    <t xml:space="preserve"> - Owner </t>
  </si>
  <si>
    <t>Muang District, Rayong 21150 Thailand</t>
  </si>
  <si>
    <t xml:space="preserve"> - Operator</t>
  </si>
  <si>
    <t xml:space="preserve">Tel </t>
  </si>
  <si>
    <t xml:space="preserve">+ 66 (0) 38 978 200 ext. 8322 </t>
  </si>
  <si>
    <t xml:space="preserve"> - Type of Cargo Containment System</t>
  </si>
  <si>
    <t>H/P (hotline)</t>
  </si>
  <si>
    <t>+66 (0) 95 436 1188 / +66 (0) 93 734 7185</t>
  </si>
  <si>
    <t xml:space="preserve"> - Tank Capacity (total 100% full)</t>
  </si>
  <si>
    <t>Fax</t>
  </si>
  <si>
    <t>+ 66 (0) 38 978 290</t>
  </si>
  <si>
    <t xml:space="preserve"> - Classification Society</t>
  </si>
  <si>
    <t>E-mail</t>
  </si>
  <si>
    <t xml:space="preserve">narudech.s@pttlng.com  / nawi.t@pttlng.com </t>
  </si>
  <si>
    <t xml:space="preserve"> - Gas management System</t>
  </si>
  <si>
    <t>1st  (Primary)</t>
  </si>
  <si>
    <t>**During Discharging Operation**</t>
  </si>
  <si>
    <t xml:space="preserve"> - Year LNG operations commenced</t>
  </si>
  <si>
    <t>2nd (Secondary)</t>
  </si>
  <si>
    <t xml:space="preserve"> - Import &amp; Export</t>
  </si>
  <si>
    <t>Import</t>
  </si>
  <si>
    <t xml:space="preserve"> 2. Max. Size of Vessel</t>
  </si>
  <si>
    <t>Qmax</t>
  </si>
  <si>
    <t>1.Max. Size of Vessel Acceptable</t>
  </si>
  <si>
    <t>1.Ship Major Dimensions</t>
  </si>
  <si>
    <t xml:space="preserve">  (1) LOA</t>
  </si>
  <si>
    <t xml:space="preserve"> (1) LOA</t>
  </si>
  <si>
    <t xml:space="preserve">  (2) Breadth</t>
  </si>
  <si>
    <t xml:space="preserve"> (2) LBP</t>
  </si>
  <si>
    <r>
      <t xml:space="preserve">  (3</t>
    </r>
    <r>
      <rPr>
        <b/>
        <sz val="11"/>
        <color indexed="10"/>
        <rFont val="Tw Cen MT"/>
        <family val="2"/>
      </rPr>
      <t>a</t>
    </r>
    <r>
      <rPr>
        <b/>
        <sz val="11"/>
        <rFont val="Tw Cen MT"/>
        <family val="2"/>
      </rPr>
      <t xml:space="preserve">) Draft </t>
    </r>
    <r>
      <rPr>
        <b/>
        <sz val="11"/>
        <color indexed="10"/>
        <rFont val="Tw Cen MT"/>
        <family val="2"/>
      </rPr>
      <t>loaded</t>
    </r>
  </si>
  <si>
    <t xml:space="preserve"> (3) Breadth (Moulded)</t>
  </si>
  <si>
    <t>(3b) Draft ballast</t>
  </si>
  <si>
    <t xml:space="preserve"> (4) Depth (Moulded)</t>
  </si>
  <si>
    <r>
      <t xml:space="preserve">  (4</t>
    </r>
    <r>
      <rPr>
        <b/>
        <sz val="11"/>
        <color indexed="10"/>
        <rFont val="Tw Cen MT"/>
        <family val="2"/>
      </rPr>
      <t>a</t>
    </r>
    <r>
      <rPr>
        <b/>
        <sz val="11"/>
        <rFont val="Tw Cen MT"/>
        <family val="2"/>
      </rPr>
      <t xml:space="preserve">) Displacement </t>
    </r>
    <r>
      <rPr>
        <b/>
        <sz val="11"/>
        <color indexed="10"/>
        <rFont val="Tw Cen MT"/>
        <family val="2"/>
      </rPr>
      <t>loaded</t>
    </r>
  </si>
  <si>
    <t>ton</t>
  </si>
  <si>
    <t>Upper deck height above BL</t>
  </si>
  <si>
    <t>(For Gangway margin calculation)</t>
  </si>
  <si>
    <t>(4b) Displacement ballast</t>
  </si>
  <si>
    <t>Manifold heigh above BL</t>
  </si>
  <si>
    <t>(For Manifold margin calculation)</t>
  </si>
  <si>
    <t xml:space="preserve">  (5) Cargo Volume</t>
  </si>
  <si>
    <t>m³</t>
  </si>
  <si>
    <t xml:space="preserve">  (6) Main Alongside</t>
  </si>
  <si>
    <t>Star board</t>
  </si>
  <si>
    <t xml:space="preserve"> (5) Draft </t>
  </si>
  <si>
    <t>(Ballast)</t>
  </si>
  <si>
    <t>← Refer from OPTIMOOR</t>
  </si>
  <si>
    <t xml:space="preserve">(Loaded)  </t>
  </si>
  <si>
    <t xml:space="preserve"> (6) Displacement</t>
  </si>
  <si>
    <t xml:space="preserve">(Loaded) </t>
  </si>
  <si>
    <t xml:space="preserve"> (7) Gross tonnage</t>
  </si>
  <si>
    <t xml:space="preserve"> (8) Sunken bitts (If any)</t>
  </si>
  <si>
    <t>Higher height above BL</t>
  </si>
  <si>
    <t>Lower height above BL</t>
  </si>
  <si>
    <t>3 / 9</t>
  </si>
  <si>
    <t xml:space="preserve"> II. Fender / Flat Body</t>
  </si>
  <si>
    <t>Table 1. Fender Reaction Force Calculation at Ballast Draft (Refer to Trelleborg report)</t>
  </si>
  <si>
    <t xml:space="preserve"> 1. Arrangement</t>
  </si>
  <si>
    <t>1. Fender Arrangement &amp; Details</t>
  </si>
  <si>
    <t xml:space="preserve"> Vapour Arm / Vapour Manifold</t>
  </si>
  <si>
    <t>(unit : m)</t>
  </si>
  <si>
    <t>1. Flat Body</t>
  </si>
  <si>
    <t>Fender No.</t>
  </si>
  <si>
    <t>Fender Reaction Force (ton)</t>
  </si>
  <si>
    <r>
      <t>Fender Area Contact (m</t>
    </r>
    <r>
      <rPr>
        <b/>
        <sz val="11"/>
        <color indexed="8"/>
        <rFont val="Trebuchet MS"/>
        <family val="2"/>
      </rPr>
      <t>²</t>
    </r>
    <r>
      <rPr>
        <b/>
        <sz val="11"/>
        <color indexed="8"/>
        <rFont val="Tw Cen MT"/>
        <family val="2"/>
      </rPr>
      <t>)</t>
    </r>
  </si>
  <si>
    <r>
      <t>Fender Area Contact (%</t>
    </r>
    <r>
      <rPr>
        <b/>
        <sz val="11"/>
        <color indexed="8"/>
        <rFont val="Tw Cen MT"/>
        <family val="2"/>
      </rPr>
      <t>)</t>
    </r>
  </si>
  <si>
    <r>
      <t>Actual Face Pressure (ton/m</t>
    </r>
    <r>
      <rPr>
        <b/>
        <sz val="11"/>
        <color indexed="8"/>
        <rFont val="Trebuchet MS"/>
        <family val="2"/>
      </rPr>
      <t>²</t>
    </r>
    <r>
      <rPr>
        <b/>
        <sz val="11"/>
        <color indexed="8"/>
        <rFont val="Tw Cen MT"/>
        <family val="2"/>
      </rPr>
      <t>)</t>
    </r>
  </si>
  <si>
    <r>
      <t>Allowable Hull Pressure (ton/m</t>
    </r>
    <r>
      <rPr>
        <b/>
        <sz val="11"/>
        <color indexed="8"/>
        <rFont val="Trebuchet MS"/>
        <family val="2"/>
      </rPr>
      <t>²</t>
    </r>
    <r>
      <rPr>
        <b/>
        <sz val="11"/>
        <color indexed="8"/>
        <rFont val="Tw Cen MT"/>
        <family val="2"/>
      </rPr>
      <t>)</t>
    </r>
  </si>
  <si>
    <t xml:space="preserve"> Remark (%)</t>
  </si>
  <si>
    <t xml:space="preserve"> (1) Vapour Manifold Offset from midhip LBP/2 (Fwd = minus - /Af t= plus +)</t>
  </si>
  <si>
    <t xml:space="preserve">   </t>
  </si>
  <si>
    <t>F1</t>
  </si>
  <si>
    <t>F2</t>
  </si>
  <si>
    <t xml:space="preserve">Fender Face </t>
  </si>
  <si>
    <t>F3</t>
  </si>
  <si>
    <t xml:space="preserve">    F1</t>
  </si>
  <si>
    <t xml:space="preserve">        F2</t>
  </si>
  <si>
    <t xml:space="preserve">       F3</t>
  </si>
  <si>
    <t xml:space="preserve">       F4</t>
  </si>
  <si>
    <t>F4</t>
  </si>
  <si>
    <t>Remark :</t>
  </si>
  <si>
    <t>Percentage of actual face pressure to allowable hull pressure</t>
  </si>
  <si>
    <t>The actual face pressure shall be less than the allowable hull pressure</t>
  </si>
  <si>
    <t>Table 2. Fender Reaction Force Calculation at Loaded Draft (Refer to Trelleborg report)</t>
  </si>
  <si>
    <t xml:space="preserve">Deck Level CDL(+) 8.00 m </t>
  </si>
  <si>
    <t>CL Fender CDL(+) 6.25 m</t>
  </si>
  <si>
    <t>HAT Level CDL(+) 3.50 m</t>
  </si>
  <si>
    <t>Length of Flat Body From Vapour Manifold</t>
  </si>
  <si>
    <t>Details</t>
  </si>
  <si>
    <t>Fwd Part</t>
  </si>
  <si>
    <t>Aft Part</t>
  </si>
  <si>
    <t>LAT Level CDL(+) 0.50 m</t>
  </si>
  <si>
    <t>Length of Ballast Draft</t>
  </si>
  <si>
    <t>Length of Loaded Draft</t>
  </si>
  <si>
    <t xml:space="preserve"> (1) Fender Face Contact Area</t>
  </si>
  <si>
    <r>
      <t>m</t>
    </r>
    <r>
      <rPr>
        <b/>
        <sz val="11"/>
        <rFont val="Trebuchet MS"/>
        <family val="2"/>
      </rPr>
      <t>²</t>
    </r>
  </si>
  <si>
    <t xml:space="preserve">Full face contact </t>
  </si>
  <si>
    <t>Length of upper deck part (for reference)</t>
  </si>
  <si>
    <t xml:space="preserve"> 2. Fender / Contact Area design</t>
  </si>
  <si>
    <t>1. Maximum Design (Fender)</t>
  </si>
  <si>
    <t>1. Maximum Fender Contact Pressure</t>
  </si>
  <si>
    <t xml:space="preserve">  (1) Face Pressure</t>
  </si>
  <si>
    <r>
      <t>kN/m</t>
    </r>
    <r>
      <rPr>
        <b/>
        <sz val="11"/>
        <rFont val="Trebuchet MS"/>
        <family val="2"/>
      </rPr>
      <t>²</t>
    </r>
  </si>
  <si>
    <t>or</t>
  </si>
  <si>
    <r>
      <t>ton/m</t>
    </r>
    <r>
      <rPr>
        <b/>
        <sz val="11"/>
        <rFont val="Trebuchet MS"/>
        <family val="2"/>
      </rPr>
      <t>²</t>
    </r>
  </si>
  <si>
    <t xml:space="preserve">  (1) Allowable Hull Pressure</t>
  </si>
  <si>
    <t>(Refer to PIANC 2002, page 25)</t>
  </si>
  <si>
    <t xml:space="preserve">  (2) Reaction Force</t>
  </si>
  <si>
    <t>kN</t>
  </si>
  <si>
    <t>tons force</t>
  </si>
  <si>
    <t xml:space="preserve">  (2) Calculation Result</t>
  </si>
  <si>
    <t>Refer to Table 1 &amp; 2 on the right column</t>
  </si>
  <si>
    <t xml:space="preserve">  (3) Reaction Force Limit (+10%)</t>
  </si>
  <si>
    <t xml:space="preserve">  (4) Energy Absorption</t>
  </si>
  <si>
    <t>kNm</t>
  </si>
  <si>
    <t>tons-m</t>
  </si>
  <si>
    <t xml:space="preserve">  (5) Energy Absorption Limit (-10%)</t>
  </si>
  <si>
    <t xml:space="preserve">  (6) Fender Type</t>
  </si>
  <si>
    <t>SCK 2500 E2.9</t>
  </si>
  <si>
    <t>rectangular shape</t>
  </si>
  <si>
    <t>1. Berthing Energy Calculations at Loaded Draft</t>
  </si>
  <si>
    <t xml:space="preserve"> 3. Berthing Energy</t>
  </si>
  <si>
    <t>1. Berthing Energy Calculations (Design)</t>
  </si>
  <si>
    <t xml:space="preserve">  (1) Calculation Result</t>
  </si>
  <si>
    <t>Refer to Table 3</t>
  </si>
  <si>
    <t>Table 3. Berthing Energy Calculation at Loaded Draft (in accordance with BS 6349)</t>
  </si>
  <si>
    <t xml:space="preserve">       Approaching Speed Meter</t>
  </si>
  <si>
    <t>MD</t>
  </si>
  <si>
    <t>VB</t>
  </si>
  <si>
    <t>AB</t>
  </si>
  <si>
    <t>CM</t>
  </si>
  <si>
    <t>CE</t>
  </si>
  <si>
    <t>CC</t>
  </si>
  <si>
    <t>CS</t>
  </si>
  <si>
    <t xml:space="preserve">  Berthing  Energy   (tons-m)</t>
  </si>
  <si>
    <t>Energy absorption of Fender   (tons-m)</t>
  </si>
  <si>
    <t>Design Particulars</t>
  </si>
  <si>
    <t xml:space="preserve">   (1) Position</t>
  </si>
  <si>
    <t>Vapour Arm / Vapour Manifold</t>
  </si>
  <si>
    <r>
      <t>Capacity (m</t>
    </r>
    <r>
      <rPr>
        <b/>
        <sz val="11"/>
        <rFont val="Trebuchet MS"/>
        <family val="2"/>
      </rPr>
      <t>³</t>
    </r>
    <r>
      <rPr>
        <b/>
        <sz val="11"/>
        <rFont val="Tw Cen MT"/>
        <family val="2"/>
      </rPr>
      <t>)</t>
    </r>
  </si>
  <si>
    <t>266,000</t>
  </si>
  <si>
    <t>Type</t>
  </si>
  <si>
    <t>MOSS</t>
  </si>
  <si>
    <t>Membrane</t>
  </si>
  <si>
    <t>Displacement at loaded draft (tonnes)</t>
  </si>
  <si>
    <t>Berthing Velocity (m/s)</t>
  </si>
  <si>
    <t>Berthing Angle (degree)</t>
  </si>
  <si>
    <t>Percentage of Berthing Energy to Energy absorption of Fender</t>
  </si>
  <si>
    <t>Normal Energy (kNm)</t>
  </si>
  <si>
    <t>The berthing energy shall be less than the energy absorption of fender</t>
  </si>
  <si>
    <t>Normal Energy (tons-m)</t>
  </si>
  <si>
    <t>Factor of Safety</t>
  </si>
  <si>
    <t>Displacement of the ship at loaded draft (in tonnes)</t>
  </si>
  <si>
    <t>Abnormal Energy (kNm)</t>
  </si>
  <si>
    <t>Abnormal Energy (tons-m)</t>
  </si>
  <si>
    <t xml:space="preserve">   (2) Manufacture</t>
  </si>
  <si>
    <t>Strainstall</t>
  </si>
  <si>
    <t>Hydrodynamic mass coefficient</t>
  </si>
  <si>
    <t>2. Limitation of Berthing Operation</t>
  </si>
  <si>
    <t xml:space="preserve">   (3) Performance</t>
  </si>
  <si>
    <t>Eccentricity coefficient</t>
  </si>
  <si>
    <t xml:space="preserve">  (1) Max Approaching Speed</t>
  </si>
  <si>
    <t>m/s</t>
  </si>
  <si>
    <t>cm/s</t>
  </si>
  <si>
    <t xml:space="preserve">   -</t>
  </si>
  <si>
    <t>Distance</t>
  </si>
  <si>
    <t>Up tp 300 m</t>
  </si>
  <si>
    <t>Berth configuration coefficient</t>
  </si>
  <si>
    <t xml:space="preserve">  (2) Max Approaching Angle</t>
  </si>
  <si>
    <t>degree</t>
  </si>
  <si>
    <t>Speed</t>
  </si>
  <si>
    <t>Up to 99 cm/s</t>
  </si>
  <si>
    <t>Softness coefficient</t>
  </si>
  <si>
    <t>Angle</t>
  </si>
  <si>
    <t>Up to 30 deg (at 100m)</t>
  </si>
  <si>
    <t>**Remark: Berthing Energy Calculated as per the Maximum Full Load.**</t>
  </si>
  <si>
    <t>III. Mooring Arrangement</t>
  </si>
  <si>
    <r>
      <t xml:space="preserve">At first study, Terminal recommend to use </t>
    </r>
    <r>
      <rPr>
        <b/>
        <sz val="18"/>
        <color indexed="10"/>
        <rFont val="Tw Cen MT"/>
        <family val="2"/>
      </rPr>
      <t>BD1, BD4</t>
    </r>
  </si>
  <si>
    <t xml:space="preserve"> 1. Mooring Facilities</t>
  </si>
  <si>
    <t>1. Mooring Facilities</t>
  </si>
  <si>
    <r>
      <t>Table 4. Recommended Number of Mooring wires / ropes for the ship size up to 177,000 m</t>
    </r>
    <r>
      <rPr>
        <b/>
        <u/>
        <sz val="11"/>
        <rFont val="Trebuchet MS"/>
        <family val="2"/>
      </rPr>
      <t>³</t>
    </r>
  </si>
  <si>
    <t xml:space="preserve">    (Hook / Winches)</t>
  </si>
  <si>
    <t xml:space="preserve">  (1) QRH Capacity</t>
  </si>
  <si>
    <t>Set</t>
  </si>
  <si>
    <t>Speed (m/min)</t>
  </si>
  <si>
    <t>Location of Hook</t>
  </si>
  <si>
    <t>MD1</t>
  </si>
  <si>
    <t>MD2</t>
  </si>
  <si>
    <t>MD3</t>
  </si>
  <si>
    <t>BD1</t>
  </si>
  <si>
    <t>BD2</t>
  </si>
  <si>
    <t>BD3</t>
  </si>
  <si>
    <t>BD4</t>
  </si>
  <si>
    <t>MD4</t>
  </si>
  <si>
    <t>MD5</t>
  </si>
  <si>
    <t>MD6</t>
  </si>
  <si>
    <t>total</t>
  </si>
  <si>
    <t>Mooring Dolphin</t>
  </si>
  <si>
    <t>Breasting Dolphin</t>
  </si>
  <si>
    <t>Hooks x Set</t>
  </si>
  <si>
    <t>3x1</t>
  </si>
  <si>
    <t>2x1</t>
  </si>
  <si>
    <t>Location</t>
  </si>
  <si>
    <t>No. of mooring</t>
  </si>
  <si>
    <t>Respresent</t>
  </si>
  <si>
    <t>HL</t>
  </si>
  <si>
    <t>FBL</t>
  </si>
  <si>
    <t>FSL</t>
  </si>
  <si>
    <t>ASL</t>
  </si>
  <si>
    <t>ABL</t>
  </si>
  <si>
    <t>SL</t>
  </si>
  <si>
    <r>
      <t xml:space="preserve">SWL of the hook </t>
    </r>
    <r>
      <rPr>
        <b/>
        <sz val="11"/>
        <color indexed="10"/>
        <rFont val="Tw Cen MT"/>
        <family val="2"/>
      </rPr>
      <t>(Tonf)</t>
    </r>
  </si>
  <si>
    <r>
      <t>Table 5. Recommended Number of Mooring wires / ropes for the ship size more than 177,000 m</t>
    </r>
    <r>
      <rPr>
        <b/>
        <u/>
        <sz val="11"/>
        <rFont val="Trebuchet MS"/>
        <family val="2"/>
      </rPr>
      <t>³</t>
    </r>
  </si>
  <si>
    <t>SWL of the hook (ton)</t>
  </si>
  <si>
    <t xml:space="preserve">  Following OPTIMOOR report</t>
  </si>
  <si>
    <t>2. Mooring Rope</t>
  </si>
  <si>
    <t>3. Tail Rope</t>
  </si>
  <si>
    <t xml:space="preserve">  (2) Capstan Speed</t>
  </si>
  <si>
    <t>(1) Type</t>
  </si>
  <si>
    <t xml:space="preserve"> (1) Type</t>
  </si>
  <si>
    <t>Capacity (ton)</t>
  </si>
  <si>
    <t>Remark</t>
  </si>
  <si>
    <t>(2) Dia</t>
  </si>
  <si>
    <t>mm</t>
  </si>
  <si>
    <t xml:space="preserve"> (2) Dia</t>
  </si>
  <si>
    <t>(3) Length</t>
  </si>
  <si>
    <t xml:space="preserve"> (3) Length</t>
  </si>
  <si>
    <t>Stern Line</t>
  </si>
  <si>
    <t>15 or 30</t>
  </si>
  <si>
    <t>Single or double speed</t>
  </si>
  <si>
    <t>(4) MBL</t>
  </si>
  <si>
    <t>tons</t>
  </si>
  <si>
    <t xml:space="preserve"> (4) MBL</t>
  </si>
  <si>
    <t>Aft Breast Line</t>
  </si>
  <si>
    <t>Aft Spring Line</t>
  </si>
  <si>
    <t>FWD Spring Line</t>
  </si>
  <si>
    <t xml:space="preserve"> 2. Mooring Layout</t>
  </si>
  <si>
    <t>1. Mooring Layout</t>
  </si>
  <si>
    <t>1. Mooring Arrangement</t>
  </si>
  <si>
    <t>FWD Breast Line</t>
  </si>
  <si>
    <t xml:space="preserve">  (1) Dolphin Arrangement</t>
  </si>
  <si>
    <t>Refer to appendix A</t>
  </si>
  <si>
    <t xml:space="preserve">  (1) Mooring Arrangement</t>
  </si>
  <si>
    <t>Refer to Optimoor Report (Appendix B)</t>
  </si>
  <si>
    <t>Head Line</t>
  </si>
  <si>
    <t xml:space="preserve">  (2) Recommended Number of Mooring wires / ropes</t>
  </si>
  <si>
    <t xml:space="preserve">Refer to the table 4 &amp; 5 on the right column </t>
  </si>
  <si>
    <t>Table 6. Weather Criteria by OCIMF</t>
  </si>
  <si>
    <t>Wind Speed</t>
  </si>
  <si>
    <t xml:space="preserve"> 60 knots from any direction</t>
  </si>
  <si>
    <t xml:space="preserve"> 3. Weather Criteria</t>
  </si>
  <si>
    <t>1. Limitation of wind speed &amp; current speed</t>
  </si>
  <si>
    <t>1. Mooring force calculation</t>
  </si>
  <si>
    <t>Current Speed</t>
  </si>
  <si>
    <r>
      <t xml:space="preserve"> 3 knots from 0</t>
    </r>
    <r>
      <rPr>
        <b/>
        <sz val="11"/>
        <color indexed="10"/>
        <rFont val="Calibri"/>
        <family val="2"/>
      </rPr>
      <t>°</t>
    </r>
    <r>
      <rPr>
        <b/>
        <sz val="11"/>
        <color indexed="10"/>
        <rFont val="Tw Cen MT"/>
        <family val="2"/>
      </rPr>
      <t xml:space="preserve"> or 180</t>
    </r>
    <r>
      <rPr>
        <b/>
        <sz val="11"/>
        <color indexed="10"/>
        <rFont val="Calibri"/>
        <family val="2"/>
      </rPr>
      <t>°</t>
    </r>
  </si>
  <si>
    <t xml:space="preserve">     for Mooring force calculation</t>
  </si>
  <si>
    <t xml:space="preserve">  (1) Wind speed &amp; current speed</t>
  </si>
  <si>
    <t>Refer to the table 6 on the right column</t>
  </si>
  <si>
    <t xml:space="preserve">  (1) Mooring force calculation</t>
  </si>
  <si>
    <t>Refer to Optimoor Report</t>
  </si>
  <si>
    <r>
      <t xml:space="preserve"> 2 knots from 10</t>
    </r>
    <r>
      <rPr>
        <b/>
        <sz val="11"/>
        <color indexed="10"/>
        <rFont val="Calibri"/>
        <family val="2"/>
      </rPr>
      <t>°</t>
    </r>
    <r>
      <rPr>
        <b/>
        <sz val="11"/>
        <color indexed="10"/>
        <rFont val="Tw Cen MT"/>
        <family val="2"/>
      </rPr>
      <t xml:space="preserve"> or 170</t>
    </r>
    <r>
      <rPr>
        <b/>
        <sz val="11"/>
        <color indexed="10"/>
        <rFont val="Calibri"/>
        <family val="2"/>
      </rPr>
      <t>°</t>
    </r>
  </si>
  <si>
    <r>
      <t xml:space="preserve"> 0.75 knots from 90</t>
    </r>
    <r>
      <rPr>
        <b/>
        <sz val="11"/>
        <color indexed="10"/>
        <rFont val="Calibri"/>
        <family val="2"/>
      </rPr>
      <t>°</t>
    </r>
  </si>
  <si>
    <t>4 / 9</t>
  </si>
  <si>
    <t xml:space="preserve"> IV. Gangway / Support</t>
  </si>
  <si>
    <t>STB A/S</t>
  </si>
  <si>
    <t xml:space="preserve"> 1. Position of Gangway / Details</t>
  </si>
  <si>
    <t>1. Gangway Position</t>
  </si>
  <si>
    <t>1. Gangway Landing Position</t>
  </si>
  <si>
    <t xml:space="preserve">  Fender Face </t>
  </si>
  <si>
    <t xml:space="preserve">  Ship Side</t>
  </si>
  <si>
    <t>max 4.6 m</t>
  </si>
  <si>
    <t>Landing space on upper deck</t>
  </si>
  <si>
    <t>SHIP FWD</t>
  </si>
  <si>
    <t>2. Detail of Gangway</t>
  </si>
  <si>
    <t xml:space="preserve">  (1) Type</t>
  </si>
  <si>
    <t>Telescopic Type operated by Hydraulic System</t>
  </si>
  <si>
    <t xml:space="preserve">  (2) Interface Part</t>
  </si>
  <si>
    <t>Bulwark Ladder</t>
  </si>
  <si>
    <t xml:space="preserve">  (1)</t>
  </si>
  <si>
    <t>Result</t>
  </si>
  <si>
    <t xml:space="preserve">  (3) Design Condition</t>
  </si>
  <si>
    <t>Max windspeed 45m/s</t>
  </si>
  <si>
    <t xml:space="preserve">  (2)</t>
  </si>
  <si>
    <t xml:space="preserve">  (3) Design Load</t>
  </si>
  <si>
    <t>250kg/m2</t>
  </si>
  <si>
    <t>Live load</t>
  </si>
  <si>
    <t xml:space="preserve">  (3)</t>
  </si>
  <si>
    <t>Gangway Landing Area</t>
  </si>
  <si>
    <t xml:space="preserve">  (4) Angle of Gangway</t>
  </si>
  <si>
    <t>Upward</t>
  </si>
  <si>
    <t xml:space="preserve">  (4)</t>
  </si>
  <si>
    <t>Length</t>
  </si>
  <si>
    <t>Down ward</t>
  </si>
  <si>
    <t>Width</t>
  </si>
  <si>
    <t xml:space="preserve">Left / Right </t>
  </si>
  <si>
    <t>drift allowance</t>
  </si>
  <si>
    <t xml:space="preserve"> 2. Gangway Working Area</t>
  </si>
  <si>
    <t>1. Working Area</t>
  </si>
  <si>
    <t>1. Gangway working range and support</t>
  </si>
  <si>
    <t>2. Sunken bitts for Emergency Departure</t>
  </si>
  <si>
    <t xml:space="preserve">     Sunken bitt heigh above BL</t>
  </si>
  <si>
    <t xml:space="preserve">  (1) Working Range of Gangway</t>
  </si>
  <si>
    <t xml:space="preserve">  (1) Gangway Compatibility</t>
  </si>
  <si>
    <t>Reference Page1 Ship Major Dimensions</t>
  </si>
  <si>
    <t>Item</t>
  </si>
  <si>
    <t>From</t>
  </si>
  <si>
    <t>(m)</t>
  </si>
  <si>
    <t>Higher Sunken Bitt height above BL</t>
  </si>
  <si>
    <t xml:space="preserve"> Working Range of Gangway</t>
  </si>
  <si>
    <t>High (above CDL)</t>
  </si>
  <si>
    <t>Ballast draft</t>
  </si>
  <si>
    <t>Lower Sunken Bitt height above BL</t>
  </si>
  <si>
    <t>Low (above CDL)</t>
  </si>
  <si>
    <t>Loaded draft</t>
  </si>
  <si>
    <t>Height above water surface</t>
  </si>
  <si>
    <t>Ballast Draft</t>
  </si>
  <si>
    <t xml:space="preserve"> Tide Level</t>
  </si>
  <si>
    <t>Safety clearance (m)</t>
  </si>
  <si>
    <t>Normal</t>
  </si>
  <si>
    <t>With Heave &amp; List</t>
  </si>
  <si>
    <t>Higher Sunken Bitt</t>
  </si>
  <si>
    <t>Upper Position</t>
  </si>
  <si>
    <t>Lower Sunken Bitt</t>
  </si>
  <si>
    <t>Heave &amp; List</t>
  </si>
  <si>
    <t>Lower Position</t>
  </si>
  <si>
    <t>Result : Higher position</t>
  </si>
  <si>
    <t>Result : Lower position</t>
  </si>
  <si>
    <t>HIGH LEVEL</t>
  </si>
  <si>
    <t>WORKING RANGE OF GANGWAY</t>
  </si>
  <si>
    <t>LOW LEVEL</t>
  </si>
  <si>
    <t>5 / 9</t>
  </si>
  <si>
    <t xml:space="preserve"> V. Unloading Arm / Cargo Pump / Compressor</t>
  </si>
  <si>
    <t xml:space="preserve">  1. Unloading Arm / Cargo Pump</t>
  </si>
  <si>
    <t xml:space="preserve">1. Unloading Flow Rate </t>
  </si>
  <si>
    <t>1. Cargo Pump Spec.</t>
  </si>
  <si>
    <t xml:space="preserve">  (1) Flow Rate</t>
  </si>
  <si>
    <t xml:space="preserve">  (1) Cargo Pump</t>
  </si>
  <si>
    <t>m³ / hr</t>
  </si>
  <si>
    <t>x</t>
  </si>
  <si>
    <t>sets</t>
  </si>
  <si>
    <t>Vapour</t>
  </si>
  <si>
    <r>
      <t>m</t>
    </r>
    <r>
      <rPr>
        <b/>
        <sz val="11"/>
        <rFont val="Trebuchet MS"/>
        <family val="2"/>
      </rPr>
      <t>³</t>
    </r>
    <r>
      <rPr>
        <b/>
        <sz val="11"/>
        <rFont val="Tw Cen MT"/>
        <family val="2"/>
      </rPr>
      <t>/h/arm</t>
    </r>
  </si>
  <si>
    <t xml:space="preserve">  (2) Stripping / Spray Pump</t>
  </si>
  <si>
    <t>Liquid</t>
  </si>
  <si>
    <t xml:space="preserve">  (3) Em'cy Cargo Pump</t>
  </si>
  <si>
    <t xml:space="preserve">  (2) Numbers</t>
  </si>
  <si>
    <t>bar g</t>
  </si>
  <si>
    <t>set</t>
  </si>
  <si>
    <t>3 liquid + 1 hybrid</t>
  </si>
  <si>
    <t xml:space="preserve">  (3) Size</t>
  </si>
  <si>
    <t>inches</t>
  </si>
  <si>
    <t>mesh</t>
  </si>
  <si>
    <t xml:space="preserve">  (4) Quick Release Couple</t>
  </si>
  <si>
    <t>Yes</t>
  </si>
  <si>
    <t xml:space="preserve">  (5) Flange Spec.</t>
  </si>
  <si>
    <t>16" QCDC</t>
  </si>
  <si>
    <t xml:space="preserve">  (1) Number</t>
  </si>
  <si>
    <t>Units</t>
  </si>
  <si>
    <t xml:space="preserve">  (2) Capacity</t>
  </si>
  <si>
    <t xml:space="preserve">  (3) Pressure</t>
  </si>
  <si>
    <t xml:space="preserve">  (6) Strainer Mesh</t>
  </si>
  <si>
    <t xml:space="preserve">N/A </t>
  </si>
  <si>
    <t>Unit</t>
  </si>
  <si>
    <t xml:space="preserve">  (1) GCU</t>
  </si>
  <si>
    <t>Capacity</t>
  </si>
  <si>
    <t>Min</t>
  </si>
  <si>
    <t xml:space="preserve">  (2) Gas Burning</t>
  </si>
  <si>
    <t xml:space="preserve">  (3) Reliquefaction plant</t>
  </si>
  <si>
    <t xml:space="preserve">  2. Unloading Arms / Manifold Layout</t>
  </si>
  <si>
    <t>1. Unloading Arms Arrangement</t>
  </si>
  <si>
    <t>1. Manifold Layout (Plan)</t>
  </si>
  <si>
    <t>A</t>
  </si>
  <si>
    <t>B</t>
  </si>
  <si>
    <t>E</t>
  </si>
  <si>
    <t>C</t>
  </si>
  <si>
    <t>D</t>
  </si>
  <si>
    <t>BOW</t>
  </si>
  <si>
    <t>STERN</t>
  </si>
  <si>
    <t xml:space="preserve">  L1</t>
  </si>
  <si>
    <t xml:space="preserve">  L2</t>
  </si>
  <si>
    <t xml:space="preserve"> V</t>
  </si>
  <si>
    <t xml:space="preserve">   L3</t>
  </si>
  <si>
    <t xml:space="preserve">   L4</t>
  </si>
  <si>
    <t>2. Manifold Spacing (metre)</t>
  </si>
  <si>
    <r>
      <t xml:space="preserve"> - Simultaneous connection of 4 Unloading Arms at </t>
    </r>
    <r>
      <rPr>
        <b/>
        <sz val="11"/>
        <color indexed="10"/>
        <rFont val="Tw Cen MT"/>
        <family val="2"/>
      </rPr>
      <t>Minimum</t>
    </r>
    <r>
      <rPr>
        <b/>
        <sz val="11"/>
        <rFont val="Tw Cen MT"/>
        <family val="2"/>
      </rPr>
      <t xml:space="preserve"> Manifold Spacing </t>
    </r>
  </si>
  <si>
    <r>
      <t xml:space="preserve"> - Simultaneous connection of 4 Unloading Arms at </t>
    </r>
    <r>
      <rPr>
        <b/>
        <sz val="11"/>
        <color indexed="10"/>
        <rFont val="Tw Cen MT"/>
        <family val="2"/>
      </rPr>
      <t>Maximum</t>
    </r>
    <r>
      <rPr>
        <b/>
        <sz val="11"/>
        <rFont val="Tw Cen MT"/>
        <family val="2"/>
      </rPr>
      <t xml:space="preserve"> Manifold Spacing </t>
    </r>
  </si>
  <si>
    <t xml:space="preserve">  3. Unloading Performance</t>
  </si>
  <si>
    <t>1. Unloading Flow Rate (Unloading Arm)</t>
  </si>
  <si>
    <t>1. Unloading Flow Rate (Ship Manifold)</t>
  </si>
  <si>
    <t>**The actual operation flow shall be following Terminal maximum capability**</t>
  </si>
  <si>
    <t>Case</t>
  </si>
  <si>
    <t>No. of Arm</t>
  </si>
  <si>
    <t>Arm Arrangement</t>
  </si>
  <si>
    <t>Maximum Flowrate (m3/hr)
(Normal operating condition)</t>
  </si>
  <si>
    <t>Maximum Manifold 
Pressure (barg)</t>
  </si>
  <si>
    <t>No. of Manifold</t>
  </si>
  <si>
    <t>Manifold Arrangement</t>
  </si>
  <si>
    <t>Maximum Flowrate (m3/hr)</t>
  </si>
  <si>
    <t>Maximum Manifold Pressure (barg)</t>
  </si>
  <si>
    <t>H</t>
  </si>
  <si>
    <t>G</t>
  </si>
  <si>
    <t>I</t>
  </si>
  <si>
    <t>F</t>
  </si>
  <si>
    <t>L1</t>
  </si>
  <si>
    <t>L2</t>
  </si>
  <si>
    <t>V</t>
  </si>
  <si>
    <t>L3</t>
  </si>
  <si>
    <t>L4</t>
  </si>
  <si>
    <t>O</t>
  </si>
  <si>
    <r>
      <t xml:space="preserve">Normal Operating </t>
    </r>
    <r>
      <rPr>
        <b/>
        <sz val="9"/>
        <color indexed="21"/>
        <rFont val="Tw Cen MT"/>
        <family val="2"/>
      </rPr>
      <t xml:space="preserve">5.0 </t>
    </r>
    <r>
      <rPr>
        <b/>
        <sz val="9"/>
        <color indexed="56"/>
        <rFont val="Tw Cen MT"/>
        <family val="2"/>
      </rPr>
      <t>bar   (Liquid ) /
0.2 bar(Vapor return)</t>
    </r>
  </si>
  <si>
    <t>X</t>
  </si>
  <si>
    <t>"O" mean use</t>
  </si>
  <si>
    <t xml:space="preserve">Flowrate and pressure based on normal operation condition </t>
  </si>
  <si>
    <t>(To be declared max flowrate with pressure 5 bars at manifolds )</t>
  </si>
  <si>
    <r>
      <t>"</t>
    </r>
    <r>
      <rPr>
        <b/>
        <sz val="9"/>
        <color indexed="10"/>
        <rFont val="Tw Cen MT"/>
        <family val="2"/>
      </rPr>
      <t>X</t>
    </r>
    <r>
      <rPr>
        <b/>
        <sz val="9"/>
        <rFont val="Tw Cen MT"/>
        <family val="2"/>
      </rPr>
      <t>" mean not use</t>
    </r>
  </si>
  <si>
    <t>Maximum design condition: 4,000 m3/hr per Arm</t>
  </si>
  <si>
    <t>6 / 9</t>
  </si>
  <si>
    <t xml:space="preserve">  4. Unloading Arm Working Range</t>
  </si>
  <si>
    <t xml:space="preserve">  (1) Working Range of Unloading Arm</t>
  </si>
  <si>
    <t xml:space="preserve">  (1) Unloading Arm Compatibility</t>
  </si>
  <si>
    <t xml:space="preserve">  (2) Unloading Arm Moving Area</t>
  </si>
  <si>
    <t>Operation</t>
  </si>
  <si>
    <t>Maximum</t>
  </si>
  <si>
    <t xml:space="preserve"> Working Range of Unloading Arm</t>
  </si>
  <si>
    <r>
      <rPr>
        <b/>
        <sz val="11"/>
        <rFont val="돋움"/>
        <family val="3"/>
        <charset val="129"/>
      </rPr>
      <t>※</t>
    </r>
    <r>
      <rPr>
        <b/>
        <sz val="11"/>
        <rFont val="Tw Cen MT"/>
        <family val="2"/>
      </rPr>
      <t xml:space="preserve"> 1. Operation : Working range of Normal without any Alarm</t>
    </r>
  </si>
  <si>
    <t xml:space="preserve">     2. Maximum : Working range of Maximum with Alarm</t>
  </si>
  <si>
    <t>Terminal</t>
  </si>
  <si>
    <t>1. Nitrogen Air (For Unloading Arm Purging Purpose)</t>
  </si>
  <si>
    <t xml:space="preserve">  (1) Service Pressure</t>
  </si>
  <si>
    <t>barg</t>
  </si>
  <si>
    <r>
      <t xml:space="preserve">(Max </t>
    </r>
    <r>
      <rPr>
        <b/>
        <sz val="11"/>
        <color indexed="10"/>
        <rFont val="Tw Cen MT"/>
        <family val="2"/>
      </rPr>
      <t>17.2</t>
    </r>
    <r>
      <rPr>
        <b/>
        <sz val="11"/>
        <color indexed="56"/>
        <rFont val="Tw Cen MT"/>
        <family val="2"/>
      </rPr>
      <t xml:space="preserve"> barg)</t>
    </r>
  </si>
  <si>
    <t xml:space="preserve">  (2) Service Point</t>
  </si>
  <si>
    <t>At the APEX of all arms &amp; lower part triple swivel assembly of liquid arms</t>
  </si>
  <si>
    <t>**Reference Figure of Service Point</t>
  </si>
  <si>
    <t>Vessel</t>
  </si>
  <si>
    <t>1. Nitrogen Air (For Manifold Purging Purpose)</t>
  </si>
  <si>
    <t>2. Fresh water (For Manifold Deicing Purpose)</t>
  </si>
  <si>
    <t xml:space="preserve">  (1) Will the ship provide fresh water for manifold deicing purpose?</t>
  </si>
  <si>
    <t xml:space="preserve"> VI. Emergency Shut Down System</t>
  </si>
  <si>
    <t xml:space="preserve">  1. Optical Fiber System </t>
  </si>
  <si>
    <t>1. Optical Fibre System (Primary System)</t>
  </si>
  <si>
    <t>1. Optical Fibre System</t>
  </si>
  <si>
    <t>Table 1.Optical Fiber System Signal Arrangement (Shore Side / Ship Side)</t>
  </si>
  <si>
    <t xml:space="preserve">   (1) Manufacture</t>
  </si>
  <si>
    <t>Trelleborg</t>
  </si>
  <si>
    <t>Ferrule No.</t>
  </si>
  <si>
    <t>Shore Side</t>
  </si>
  <si>
    <t>Ship Side</t>
  </si>
  <si>
    <t xml:space="preserve">   (2) Connector Type</t>
  </si>
  <si>
    <t>FO type 6 cores</t>
  </si>
  <si>
    <t>Signal</t>
  </si>
  <si>
    <t>Direction</t>
  </si>
  <si>
    <t xml:space="preserve">   (3) Cable Reel Position</t>
  </si>
  <si>
    <t>m Aft from the Vapour Arm</t>
  </si>
  <si>
    <t xml:space="preserve">   (3) Connector Box Position</t>
  </si>
  <si>
    <t>m from the vapour line center (Fwd = minus - /Af t= plus +)</t>
  </si>
  <si>
    <t>Telephone Channel</t>
  </si>
  <si>
    <t>Ship &gt; Shore</t>
  </si>
  <si>
    <t xml:space="preserve">   (4) Cable Length</t>
  </si>
  <si>
    <t xml:space="preserve">   (4) Signal Arrangement</t>
  </si>
  <si>
    <t>Refer to Table 1 on the right column</t>
  </si>
  <si>
    <t>Shore &gt; Ship</t>
  </si>
  <si>
    <t xml:space="preserve">   (5) Signal Arrangement</t>
  </si>
  <si>
    <t>Refer to table 1 right side</t>
  </si>
  <si>
    <t>ESD Channel</t>
  </si>
  <si>
    <t xml:space="preserve">  2. Electric System </t>
  </si>
  <si>
    <t>1. Electric System (Secondary System)</t>
  </si>
  <si>
    <t>1. Electric System</t>
  </si>
  <si>
    <t>Spare</t>
  </si>
  <si>
    <t>Electric connector 37-way receptacle</t>
  </si>
  <si>
    <t>Table 2.Electric System Signal Arrangement (Shore Side / Ship Side)</t>
  </si>
  <si>
    <t>Pin No.</t>
  </si>
  <si>
    <t>Refer to Table 2 on the right column</t>
  </si>
  <si>
    <t>1,2</t>
  </si>
  <si>
    <t>NOT USED</t>
  </si>
  <si>
    <t>Refer to table 2 right side</t>
  </si>
  <si>
    <t>3,4</t>
  </si>
  <si>
    <t>SPARE</t>
  </si>
  <si>
    <t xml:space="preserve">  3. Pneumatic System</t>
  </si>
  <si>
    <t>1. Pneumatic System</t>
  </si>
  <si>
    <t>5,6</t>
  </si>
  <si>
    <t>ELEC TEL HOT PHONE</t>
  </si>
  <si>
    <t>7,8</t>
  </si>
  <si>
    <t>ELEC TEL PUBLIC PHONE</t>
  </si>
  <si>
    <t>1/2" SNAP-TITE MALE QDC FITTING
1/2" BSPP 316 ST/ST</t>
  </si>
  <si>
    <t>9,10</t>
  </si>
  <si>
    <t>ELEC TEL PLANT PHONE (PABX)</t>
  </si>
  <si>
    <t xml:space="preserve">m Aft from the vapour arm </t>
  </si>
  <si>
    <t>m aft of the vapour line center (Fwd = minus - /Af t= plus +)</t>
  </si>
  <si>
    <t>11,12</t>
  </si>
  <si>
    <t xml:space="preserve">   (4) Air Pressure</t>
  </si>
  <si>
    <t>13,14</t>
  </si>
  <si>
    <t>SHORE TO SHIP ESD</t>
  </si>
  <si>
    <t xml:space="preserve">   (5) Cable Type</t>
  </si>
  <si>
    <t>Anti-static Pneumatic Hose</t>
  </si>
  <si>
    <t>1. "ESD 1" Activated By</t>
  </si>
  <si>
    <t>15,16</t>
  </si>
  <si>
    <t>SHIP TO SHORE ESD</t>
  </si>
  <si>
    <t xml:space="preserve">   (6) Air Pressure</t>
  </si>
  <si>
    <t>bar</t>
  </si>
  <si>
    <t>17,18</t>
  </si>
  <si>
    <t>UMBILICAL CONTINUITY LINK</t>
  </si>
  <si>
    <t xml:space="preserve">   4. ESDS Activation</t>
  </si>
  <si>
    <t>1. "ESD 6" Activated By</t>
  </si>
  <si>
    <t>2. "ESD 5" Activated By</t>
  </si>
  <si>
    <t>(1)</t>
  </si>
  <si>
    <t>(10)</t>
  </si>
  <si>
    <t>19,20</t>
  </si>
  <si>
    <t xml:space="preserve">   (1) Manual Activation</t>
  </si>
  <si>
    <t xml:space="preserve">   (2) Autometical Activation</t>
  </si>
  <si>
    <t>(2)</t>
  </si>
  <si>
    <t>(11)</t>
  </si>
  <si>
    <t>21,22</t>
  </si>
  <si>
    <t>CCR</t>
  </si>
  <si>
    <t>Ship over movement</t>
  </si>
  <si>
    <t>(3)</t>
  </si>
  <si>
    <t>(12)</t>
  </si>
  <si>
    <t>23,24</t>
  </si>
  <si>
    <t>JCR</t>
  </si>
  <si>
    <t>LNG tank level/pressure HH</t>
  </si>
  <si>
    <t>(4)</t>
  </si>
  <si>
    <t>(13)</t>
  </si>
  <si>
    <t>25,26</t>
  </si>
  <si>
    <t>Ship</t>
  </si>
  <si>
    <t>ESD from ship</t>
  </si>
  <si>
    <t>(5)</t>
  </si>
  <si>
    <t>(14)</t>
  </si>
  <si>
    <t>27,28</t>
  </si>
  <si>
    <t>ISB</t>
  </si>
  <si>
    <t>Power failure</t>
  </si>
  <si>
    <t>(6)</t>
  </si>
  <si>
    <t>(15)</t>
  </si>
  <si>
    <t>29,30</t>
  </si>
  <si>
    <t>IS POWER FOR SHORE ETU</t>
  </si>
  <si>
    <t>F&amp;G activation</t>
  </si>
  <si>
    <t>Instrument Air failure</t>
  </si>
  <si>
    <t>(7)</t>
  </si>
  <si>
    <t>31,32,33</t>
  </si>
  <si>
    <t>RS232 INTERFACE (FOR MLM)</t>
  </si>
  <si>
    <r>
      <rPr>
        <b/>
        <sz val="10"/>
        <color rgb="FFFF0000"/>
        <rFont val="Tw Cen MT"/>
        <family val="2"/>
      </rPr>
      <t xml:space="preserve">remark </t>
    </r>
    <r>
      <rPr>
        <b/>
        <sz val="10"/>
        <rFont val="Tw Cen MT"/>
        <family val="2"/>
      </rPr>
      <t>: on F&amp;G alarm detection, Loading Master and Chief Officer must confirm gas release before activating fire/ESD response.</t>
    </r>
  </si>
  <si>
    <t>(8)</t>
  </si>
  <si>
    <t>(9)</t>
  </si>
  <si>
    <t>35,36</t>
  </si>
  <si>
    <t>RESERVED FOR SHIP ETU</t>
  </si>
  <si>
    <t>9 / 9</t>
  </si>
  <si>
    <t>VII. CTMS On board</t>
  </si>
  <si>
    <t xml:space="preserve">  1. Level measurement devices (Primary)</t>
  </si>
  <si>
    <t>1. Terminal Rule</t>
  </si>
  <si>
    <t>1. CTMS On board</t>
  </si>
  <si>
    <t xml:space="preserve">  (1) Accuracy</t>
  </si>
  <si>
    <r>
      <t>Equal to or better than (</t>
    </r>
    <r>
      <rPr>
        <b/>
        <u/>
        <sz val="11"/>
        <color indexed="10"/>
        <rFont val="Tw Cen MT"/>
        <family val="2"/>
      </rPr>
      <t>+</t>
    </r>
    <r>
      <rPr>
        <b/>
        <sz val="11"/>
        <color indexed="10"/>
        <rFont val="Tw Cen MT"/>
        <family val="2"/>
      </rPr>
      <t xml:space="preserve"> 7.5) mm.</t>
    </r>
  </si>
  <si>
    <t xml:space="preserve">   (1) Type</t>
  </si>
  <si>
    <t xml:space="preserve">   (2) Manufacturer</t>
  </si>
  <si>
    <t>2. Buyer's Requirement</t>
  </si>
  <si>
    <t xml:space="preserve">   (3) Accuracy ±</t>
  </si>
  <si>
    <t>as per Map Ta Phut Terminal 1</t>
  </si>
  <si>
    <t xml:space="preserve">   (4) Certified by</t>
  </si>
  <si>
    <t xml:space="preserve">   (5) Issued Date</t>
  </si>
  <si>
    <t xml:space="preserve">  2. Level measurement devices (Secondary)</t>
  </si>
  <si>
    <t xml:space="preserve">  3. Temperature measurement devices</t>
  </si>
  <si>
    <r>
      <t>equal to or better than (</t>
    </r>
    <r>
      <rPr>
        <b/>
        <u/>
        <sz val="11"/>
        <color indexed="10"/>
        <rFont val="Tw Cen MT"/>
        <family val="2"/>
      </rPr>
      <t>+</t>
    </r>
    <r>
      <rPr>
        <b/>
        <sz val="11"/>
        <color indexed="10"/>
        <rFont val="Tw Cen MT"/>
        <family val="2"/>
      </rPr>
      <t xml:space="preserve"> 0.2) degrees celsius (at temp. range -145 to -165 </t>
    </r>
    <r>
      <rPr>
        <b/>
        <sz val="11"/>
        <color indexed="10"/>
        <rFont val="Calibri"/>
        <family val="2"/>
      </rPr>
      <t>°</t>
    </r>
    <r>
      <rPr>
        <b/>
        <sz val="11"/>
        <color indexed="10"/>
        <rFont val="Tw Cen MT"/>
        <family val="2"/>
      </rPr>
      <t>C)</t>
    </r>
  </si>
  <si>
    <t xml:space="preserve">   (1) Accuracy (at temp. range)</t>
  </si>
  <si>
    <r>
      <t>equal to or better than (</t>
    </r>
    <r>
      <rPr>
        <b/>
        <u/>
        <sz val="11"/>
        <color indexed="10"/>
        <rFont val="Tw Cen MT"/>
        <family val="2"/>
      </rPr>
      <t>+</t>
    </r>
    <r>
      <rPr>
        <b/>
        <sz val="11"/>
        <color indexed="10"/>
        <rFont val="Tw Cen MT"/>
        <family val="2"/>
      </rPr>
      <t xml:space="preserve"> 1.5) degrees celsius (at temp. range +50 to -145 </t>
    </r>
    <r>
      <rPr>
        <b/>
        <sz val="11"/>
        <color indexed="10"/>
        <rFont val="Calibri"/>
        <family val="2"/>
      </rPr>
      <t>°</t>
    </r>
    <r>
      <rPr>
        <b/>
        <sz val="11"/>
        <color indexed="10"/>
        <rFont val="Tw Cen MT"/>
        <family val="2"/>
      </rPr>
      <t>C)</t>
    </r>
  </si>
  <si>
    <t>(at temp. range -145 to -165 °C)</t>
  </si>
  <si>
    <t>(at temp. range +50 to -145 °C)</t>
  </si>
  <si>
    <t xml:space="preserve">   (2) Certified by</t>
  </si>
  <si>
    <t xml:space="preserve">   (3) Issued Date</t>
  </si>
  <si>
    <t xml:space="preserve">  4. Pressure measurement devices</t>
  </si>
  <si>
    <t xml:space="preserve">Accuracy in measuring the absolute pressure of the LNG vapour on each </t>
  </si>
  <si>
    <t xml:space="preserve">   (1) Accuracy  ± (%)</t>
  </si>
  <si>
    <t>LNG tank shall be equal to or better than (± 1%) of the measuring range</t>
  </si>
  <si>
    <t>As per Map Ta Phut Terminal 1</t>
  </si>
  <si>
    <t>VIII. Fire Fighting System</t>
  </si>
  <si>
    <t>1. Loading Platform</t>
  </si>
  <si>
    <t>Vessel Side</t>
  </si>
  <si>
    <t xml:space="preserve">   (1) Fire Monitor</t>
  </si>
  <si>
    <t xml:space="preserve">   (1)</t>
  </si>
  <si>
    <t xml:space="preserve">   (2) Fire Hydrant &amp; Host Reel</t>
  </si>
  <si>
    <t xml:space="preserve">   (2)</t>
  </si>
  <si>
    <t xml:space="preserve">   (3) Portable Fire Extinguisher</t>
  </si>
  <si>
    <t xml:space="preserve">   (3)</t>
  </si>
  <si>
    <t xml:space="preserve">   (4) Flame &amp; Gas Detector</t>
  </si>
  <si>
    <t xml:space="preserve">   (4)</t>
  </si>
  <si>
    <t xml:space="preserve">   (5) Internation Ship Shore Connection</t>
  </si>
  <si>
    <t xml:space="preserve">   (5)</t>
  </si>
  <si>
    <t xml:space="preserve">   (6) Water Curtain</t>
  </si>
  <si>
    <t xml:space="preserve">   (6)</t>
  </si>
  <si>
    <t>2. Impoundment Pit</t>
  </si>
  <si>
    <t xml:space="preserve">   (7)</t>
  </si>
  <si>
    <t xml:space="preserve">   (1) Flame &amp; Gas Detector</t>
  </si>
  <si>
    <t xml:space="preserve">   (8)</t>
  </si>
  <si>
    <t xml:space="preserve">   (2) High Expansion Foam</t>
  </si>
  <si>
    <t xml:space="preserve">   (9)</t>
  </si>
  <si>
    <t xml:space="preserve">   (3) Dry Chemical</t>
  </si>
  <si>
    <t xml:space="preserve">   (10)</t>
  </si>
  <si>
    <t xml:space="preserve">Appendix A : Mooring Layout size </t>
  </si>
  <si>
    <t xml:space="preserve">FWD : X/X/X/X :::::::: X/X/X/X AFT  </t>
  </si>
  <si>
    <t>Appendix B : Spool Piece Drawing</t>
  </si>
  <si>
    <t>Outside diameter</t>
  </si>
  <si>
    <t>Flage Thickness</t>
  </si>
  <si>
    <t>Raised Face</t>
  </si>
  <si>
    <t>Inside Diameter</t>
  </si>
  <si>
    <t>Surface Finish</t>
  </si>
  <si>
    <t>Max</t>
  </si>
  <si>
    <t>Ra</t>
  </si>
  <si>
    <t>Actual SDP on board (STB)</t>
  </si>
  <si>
    <r>
      <rPr>
        <b/>
        <sz val="16"/>
        <color indexed="10"/>
        <rFont val="Tw Cen MT"/>
        <family val="2"/>
      </rPr>
      <t>*Remark*</t>
    </r>
    <r>
      <rPr>
        <b/>
        <sz val="16"/>
        <rFont val="Tw Cen MT"/>
        <family val="2"/>
      </rPr>
      <t xml:space="preserve"> The SDP or RDP onboard (shore side) must be </t>
    </r>
    <r>
      <rPr>
        <b/>
        <u/>
        <sz val="16"/>
        <color indexed="10"/>
        <rFont val="Tw Cen MT"/>
        <family val="2"/>
      </rPr>
      <t>RAISE FACE TYPE ONLY!</t>
    </r>
  </si>
  <si>
    <r>
      <t xml:space="preserve">The number of unloading arm will be connected: 4L - 3L - </t>
    </r>
    <r>
      <rPr>
        <b/>
        <sz val="18"/>
        <color indexed="10"/>
        <rFont val="Tw Cen MT"/>
        <family val="2"/>
      </rPr>
      <t>V</t>
    </r>
    <r>
      <rPr>
        <b/>
        <sz val="18"/>
        <color indexed="18"/>
        <rFont val="Tw Cen MT"/>
        <family val="2"/>
      </rPr>
      <t xml:space="preserve"> - 2L - 1L</t>
    </r>
  </si>
  <si>
    <t xml:space="preserve">  (1) Will the ship provide nitrogen  for line purging purpose?</t>
  </si>
  <si>
    <t>Mooring Pattern : Berth 1</t>
  </si>
  <si>
    <t>Mooring Pattern : Berth 2 (future)</t>
  </si>
  <si>
    <t>2. Flang Spec.</t>
  </si>
  <si>
    <t>3. Cargo Strainer</t>
  </si>
  <si>
    <t>4. High Duty Compressor</t>
  </si>
  <si>
    <t>5. Gas Management System</t>
  </si>
  <si>
    <t>time to</t>
  </si>
  <si>
    <t>Start</t>
  </si>
  <si>
    <t>Stop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</si>
</sst>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164" formatCode="yyyy\.\ mm\.\ dd"/>
    <numFmt numFmtId="165" formatCode="mm&quot;월&quot;\ dd&quot;일&quot;"/>
    <numFmt numFmtId="166" formatCode="[$-1010409]d\ mmm\ yy;@"/>
    <numFmt numFmtId="167" formatCode="_-* #,##0_-;\-* #,##0_-;_-* &quot;-&quot;_-;_-@_-"/>
    <numFmt numFmtId="168" formatCode="0.000"/>
    <numFmt numFmtId="169" formatCode="#,##0.0"/>
    <numFmt numFmtId="170" formatCode="0.0%"/>
    <numFmt numFmtId="171" formatCode="0.0"/>
    <numFmt numFmtId="172" formatCode="#,##0.000"/>
    <numFmt numFmtId="173" formatCode="0.00_);[Red]\(0.00\)"/>
    <numFmt numFmtId="174" formatCode="_-* #,##0.00_-;\-* #,##0.00_-;_-* &quot;-&quot;_-;_-@_-"/>
    <numFmt numFmtId="175" formatCode="&quot;$&quot;#,##0.00"/>
    <numFmt numFmtId="176" formatCode="[$-409]d\-mmm\-yyyy;@"/>
  </numFmts>
  <fonts count="77">
    <font>
      <sz val="11"/>
      <color theme="1"/>
      <name val="Calibri"/>
      <family val="2"/>
      <scheme val="minor"/>
    </font>
    <font>
      <sz val="10"/>
      <name val="바탕체"/>
      <family val="1"/>
      <charset val="129"/>
    </font>
    <font>
      <b/>
      <sz val="12"/>
      <name val="Tw Cen MT"/>
      <family val="2"/>
    </font>
    <font>
      <sz val="10"/>
      <name val="Tw Cen MT"/>
      <family val="2"/>
    </font>
    <font>
      <b/>
      <u/>
      <sz val="14"/>
      <name val="Tw Cen MT"/>
      <family val="2"/>
    </font>
    <font>
      <sz val="20"/>
      <name val="Tw Cen MT"/>
      <family val="2"/>
    </font>
    <font>
      <sz val="20"/>
      <color rgb="FFFF0000"/>
      <name val="Tw Cen MT"/>
      <family val="2"/>
    </font>
    <font>
      <b/>
      <sz val="20"/>
      <name val="Tw Cen MT"/>
      <family val="2"/>
    </font>
    <font>
      <b/>
      <sz val="15"/>
      <name val="Tw Cen MT"/>
      <family val="2"/>
    </font>
    <font>
      <b/>
      <u/>
      <sz val="15"/>
      <name val="Tw Cen MT"/>
      <family val="2"/>
    </font>
    <font>
      <b/>
      <sz val="11"/>
      <name val="Tw Cen MT"/>
      <family val="2"/>
    </font>
    <font>
      <b/>
      <sz val="15"/>
      <color indexed="10"/>
      <name val="Tw Cen MT"/>
      <family val="2"/>
    </font>
    <font>
      <b/>
      <sz val="14"/>
      <name val="Tw Cen MT"/>
      <family val="2"/>
    </font>
    <font>
      <b/>
      <u/>
      <sz val="11"/>
      <name val="Tw Cen MT"/>
      <family val="2"/>
    </font>
    <font>
      <sz val="12.5"/>
      <name val="Tw Cen MT"/>
      <family val="2"/>
    </font>
    <font>
      <b/>
      <sz val="13"/>
      <name val="Tw Cen MT"/>
      <family val="2"/>
    </font>
    <font>
      <sz val="12"/>
      <name val="Tw Cen MT"/>
      <family val="2"/>
    </font>
    <font>
      <b/>
      <sz val="11"/>
      <color rgb="FFFF0000"/>
      <name val="Tw Cen MT"/>
      <family val="2"/>
    </font>
    <font>
      <sz val="11"/>
      <name val="Tw Cen MT"/>
      <family val="2"/>
    </font>
    <font>
      <b/>
      <sz val="11"/>
      <color theme="3"/>
      <name val="Tw Cen MT"/>
      <family val="2"/>
    </font>
    <font>
      <b/>
      <sz val="10"/>
      <name val="Tw Cen MT"/>
      <family val="2"/>
    </font>
    <font>
      <b/>
      <sz val="11"/>
      <color indexed="12"/>
      <name val="Tw Cen MT"/>
      <family val="2"/>
    </font>
    <font>
      <b/>
      <sz val="11"/>
      <color indexed="56"/>
      <name val="Tw Cen MT"/>
      <family val="2"/>
    </font>
    <font>
      <b/>
      <sz val="12"/>
      <color rgb="FFFF0000"/>
      <name val="Tw Cen MT"/>
      <family val="2"/>
    </font>
    <font>
      <u/>
      <sz val="8"/>
      <color indexed="12"/>
      <name val="바탕체"/>
      <family val="1"/>
      <charset val="129"/>
    </font>
    <font>
      <b/>
      <u/>
      <sz val="11"/>
      <color theme="3"/>
      <name val="Tw Cen MT"/>
      <family val="2"/>
    </font>
    <font>
      <sz val="10"/>
      <name val="바탕체"/>
      <family val="1"/>
    </font>
    <font>
      <b/>
      <i/>
      <sz val="11"/>
      <color theme="3" tint="0.39997558519241921"/>
      <name val="Tw Cen MT"/>
      <family val="2"/>
    </font>
    <font>
      <b/>
      <sz val="11"/>
      <color rgb="FF002060"/>
      <name val="Tw Cen MT"/>
      <family val="2"/>
    </font>
    <font>
      <b/>
      <u/>
      <sz val="11"/>
      <color indexed="12"/>
      <name val="Tw Cen MT"/>
      <family val="2"/>
    </font>
    <font>
      <sz val="11"/>
      <color indexed="12"/>
      <name val="Tw Cen MT"/>
      <family val="2"/>
    </font>
    <font>
      <b/>
      <u/>
      <sz val="11"/>
      <color theme="1"/>
      <name val="Tw Cen MT"/>
      <family val="2"/>
    </font>
    <font>
      <b/>
      <sz val="11"/>
      <color theme="1"/>
      <name val="Tw Cen MT"/>
      <family val="2"/>
    </font>
    <font>
      <b/>
      <sz val="18"/>
      <name val="Tw Cen MT"/>
      <family val="2"/>
    </font>
    <font>
      <sz val="10"/>
      <color theme="1"/>
      <name val="Tw Cen MT"/>
      <family val="2"/>
    </font>
    <font>
      <b/>
      <sz val="10"/>
      <color rgb="FFFF0000"/>
      <name val="Tw Cen MT"/>
      <family val="2"/>
    </font>
    <font>
      <b/>
      <sz val="14"/>
      <color rgb="FFFF0000"/>
      <name val="Tw Cen MT"/>
      <family val="2"/>
    </font>
    <font>
      <b/>
      <sz val="14"/>
      <color theme="1"/>
      <name val="Tw Cen MT"/>
      <family val="2"/>
    </font>
    <font>
      <sz val="11"/>
      <color rgb="FFFF0000"/>
      <name val="Tw Cen MT"/>
      <family val="2"/>
    </font>
    <font>
      <b/>
      <sz val="10"/>
      <color theme="3"/>
      <name val="Tw Cen MT"/>
      <family val="2"/>
    </font>
    <font>
      <b/>
      <u/>
      <sz val="11"/>
      <color indexed="56"/>
      <name val="Tw Cen MT"/>
      <family val="2"/>
    </font>
    <font>
      <sz val="11"/>
      <color theme="3"/>
      <name val="Tw Cen MT"/>
      <family val="2"/>
    </font>
    <font>
      <b/>
      <i/>
      <sz val="11"/>
      <name val="Tw Cen MT"/>
      <family val="2"/>
    </font>
    <font>
      <u/>
      <sz val="11"/>
      <name val="Tw Cen MT"/>
      <family val="2"/>
    </font>
    <font>
      <b/>
      <sz val="9"/>
      <name val="Tw Cen MT"/>
      <family val="2"/>
    </font>
    <font>
      <b/>
      <sz val="9"/>
      <color theme="1"/>
      <name val="Tw Cen MT"/>
      <family val="2"/>
    </font>
    <font>
      <b/>
      <sz val="9"/>
      <color theme="3"/>
      <name val="Tw Cen MT"/>
      <family val="2"/>
    </font>
    <font>
      <b/>
      <sz val="9"/>
      <color rgb="FFFF0000"/>
      <name val="Tw Cen MT"/>
      <family val="2"/>
    </font>
    <font>
      <b/>
      <sz val="11"/>
      <color rgb="FF0070C0"/>
      <name val="Tw Cen MT"/>
      <family val="2"/>
    </font>
    <font>
      <b/>
      <sz val="48"/>
      <name val="Tw Cen MT"/>
      <family val="2"/>
    </font>
    <font>
      <b/>
      <sz val="18"/>
      <color theme="4" tint="-0.499984740745262"/>
      <name val="Tw Cen MT"/>
      <family val="2"/>
    </font>
    <font>
      <b/>
      <sz val="18"/>
      <color theme="3"/>
      <name val="Tw Cen MT"/>
      <family val="2"/>
    </font>
    <font>
      <b/>
      <sz val="14"/>
      <color theme="3"/>
      <name val="Tw Cen MT"/>
      <family val="2"/>
    </font>
    <font>
      <b/>
      <sz val="11"/>
      <color theme="4" tint="-0.499984740745262"/>
      <name val="Tw Cen MT"/>
      <family val="2"/>
    </font>
    <font>
      <b/>
      <sz val="15"/>
      <color theme="4" tint="-0.499984740745262"/>
      <name val="Tw Cen MT"/>
      <family val="2"/>
    </font>
    <font>
      <b/>
      <sz val="16"/>
      <name val="Tw Cen MT"/>
      <family val="2"/>
    </font>
    <font>
      <b/>
      <i/>
      <sz val="11"/>
      <color indexed="62"/>
      <name val="Tw Cen MT"/>
      <family val="2"/>
    </font>
    <font>
      <b/>
      <sz val="11"/>
      <color indexed="10"/>
      <name val="Tw Cen MT"/>
      <family val="2"/>
    </font>
    <font>
      <b/>
      <sz val="11"/>
      <color indexed="8"/>
      <name val="Trebuchet MS"/>
      <family val="2"/>
    </font>
    <font>
      <b/>
      <sz val="11"/>
      <color indexed="8"/>
      <name val="Tw Cen MT"/>
      <family val="2"/>
    </font>
    <font>
      <b/>
      <sz val="11"/>
      <name val="Trebuchet MS"/>
      <family val="2"/>
    </font>
    <font>
      <b/>
      <sz val="18"/>
      <color indexed="10"/>
      <name val="Tw Cen MT"/>
      <family val="2"/>
    </font>
    <font>
      <b/>
      <u/>
      <sz val="11"/>
      <name val="Trebuchet MS"/>
      <family val="2"/>
    </font>
    <font>
      <b/>
      <sz val="11"/>
      <color indexed="10"/>
      <name val="Calibri"/>
      <family val="2"/>
    </font>
    <font>
      <b/>
      <sz val="9"/>
      <color indexed="21"/>
      <name val="Tw Cen MT"/>
      <family val="2"/>
    </font>
    <font>
      <b/>
      <sz val="9"/>
      <color indexed="56"/>
      <name val="Tw Cen MT"/>
      <family val="2"/>
    </font>
    <font>
      <b/>
      <sz val="9"/>
      <color indexed="10"/>
      <name val="Tw Cen MT"/>
      <family val="2"/>
    </font>
    <font>
      <b/>
      <sz val="11"/>
      <name val="돋움"/>
      <family val="3"/>
      <charset val="129"/>
    </font>
    <font>
      <b/>
      <u/>
      <sz val="11"/>
      <color indexed="10"/>
      <name val="Tw Cen MT"/>
      <family val="2"/>
    </font>
    <font>
      <b/>
      <sz val="16"/>
      <color indexed="10"/>
      <name val="Tw Cen MT"/>
      <family val="2"/>
    </font>
    <font>
      <b/>
      <u/>
      <sz val="16"/>
      <color indexed="10"/>
      <name val="Tw Cen MT"/>
      <family val="2"/>
    </font>
    <font>
      <b/>
      <sz val="18"/>
      <color indexed="18"/>
      <name val="Tw Cen MT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u/>
      <sz val="22"/>
      <name val="Tw Cen MT"/>
      <family val="2"/>
    </font>
    <font>
      <b/>
      <sz val="72"/>
      <name val="Tw Cen MT"/>
      <family val="2"/>
    </font>
    <font>
      <b/>
      <sz val="48"/>
      <color theme="3"/>
      <name val="Tw Cen MT"/>
      <family val="2"/>
    </font>
  </fonts>
  <fills count="1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5"/>
        <bgColor indexed="64"/>
      </patternFill>
    </fill>
    <fill>
      <patternFill patternType="solid">
        <fgColor theme="8" tint="0.79998168889431442"/>
        <bgColor indexed="64"/>
      </patternFill>
    </fill>
  </fills>
  <borders count="13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thick">
        <color indexed="64"/>
      </left>
      <right/>
      <top style="medium">
        <color indexed="64"/>
      </top>
      <bottom/>
      <diagonal/>
    </border>
    <border>
      <left style="dotted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theme="0" tint="-0.14996795556505021"/>
      </bottom>
      <diagonal/>
    </border>
    <border>
      <left/>
      <right/>
      <top style="medium">
        <color indexed="64"/>
      </top>
      <bottom style="thin">
        <color theme="0" tint="-0.14996795556505021"/>
      </bottom>
      <diagonal/>
    </border>
    <border>
      <left style="thin">
        <color indexed="64"/>
      </left>
      <right/>
      <top style="medium">
        <color indexed="64"/>
      </top>
      <bottom style="thin">
        <color theme="0" tint="-0.14996795556505021"/>
      </bottom>
      <diagonal/>
    </border>
    <border>
      <left/>
      <right style="thin">
        <color indexed="64"/>
      </right>
      <top style="medium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ck">
        <color indexed="64"/>
      </right>
      <top/>
      <bottom style="thin">
        <color theme="0" tint="-0.14996795556505021"/>
      </bottom>
      <diagonal/>
    </border>
    <border>
      <left style="thick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indexed="64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 style="thin">
        <color indexed="64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indexed="64"/>
      </left>
      <right style="thick">
        <color indexed="64"/>
      </right>
      <top style="thin">
        <color theme="0" tint="-0.14996795556505021"/>
      </top>
      <bottom style="thin">
        <color theme="0" tint="-0.1499679555650502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theme="0" tint="-0.14996795556505021"/>
      </top>
      <bottom style="medium">
        <color indexed="64"/>
      </bottom>
      <diagonal/>
    </border>
    <border>
      <left/>
      <right/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/>
      <top style="thin">
        <color theme="0" tint="-0.14996795556505021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/>
      <right style="thick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/>
      <top/>
      <bottom style="thin">
        <color theme="0" tint="-0.14996795556505021"/>
      </bottom>
      <diagonal/>
    </border>
    <border>
      <left/>
      <right/>
      <top/>
      <bottom style="thin">
        <color theme="0" tint="-0.14996795556505021"/>
      </bottom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ck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ck">
        <color indexed="64"/>
      </right>
      <top/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dotted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 style="dashed">
        <color indexed="64"/>
      </bottom>
      <diagonal/>
    </border>
    <border>
      <left/>
      <right/>
      <top/>
      <bottom style="dashed">
        <color indexed="64"/>
      </bottom>
      <diagonal/>
    </border>
    <border>
      <left/>
      <right style="medium">
        <color indexed="64"/>
      </right>
      <top/>
      <bottom style="dashed">
        <color indexed="64"/>
      </bottom>
      <diagonal/>
    </border>
    <border>
      <left style="medium">
        <color indexed="64"/>
      </left>
      <right style="medium">
        <color indexed="64"/>
      </right>
      <top style="dashed">
        <color indexed="64"/>
      </top>
      <bottom/>
      <diagonal/>
    </border>
    <border>
      <left/>
      <right style="medium">
        <color indexed="64"/>
      </right>
      <top style="dashed">
        <color indexed="64"/>
      </top>
      <bottom/>
      <diagonal/>
    </border>
    <border>
      <left/>
      <right/>
      <top style="dashed">
        <color indexed="64"/>
      </top>
      <bottom/>
      <diagonal/>
    </border>
    <border>
      <left style="medium">
        <color indexed="64"/>
      </left>
      <right/>
      <top style="dashed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medium">
        <color indexed="64"/>
      </right>
      <top/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/>
      <diagonal/>
    </border>
    <border>
      <left/>
      <right/>
      <top style="dotted">
        <color indexed="64"/>
      </top>
      <bottom/>
      <diagonal/>
    </border>
    <border>
      <left/>
      <right style="medium">
        <color indexed="64"/>
      </right>
      <top style="dotted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 diagonalUp="1" diagonalDown="1">
      <left style="medium">
        <color indexed="64"/>
      </left>
      <right/>
      <top style="medium">
        <color indexed="64"/>
      </top>
      <bottom/>
      <diagonal style="thin">
        <color indexed="64"/>
      </diagonal>
    </border>
    <border diagonalUp="1" diagonalDown="1">
      <left/>
      <right/>
      <top style="medium">
        <color indexed="64"/>
      </top>
      <bottom/>
      <diagonal style="thin">
        <color indexed="64"/>
      </diagonal>
    </border>
    <border diagonalUp="1" diagonalDown="1">
      <left/>
      <right style="medium">
        <color indexed="64"/>
      </right>
      <top style="medium">
        <color indexed="64"/>
      </top>
      <bottom/>
      <diagonal style="thin">
        <color indexed="64"/>
      </diagonal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 diagonalUp="1" diagonalDown="1"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 diagonalUp="1" diagonalDown="1">
      <left style="medium">
        <color indexed="64"/>
      </left>
      <right/>
      <top/>
      <bottom/>
      <diagonal style="thin">
        <color indexed="64"/>
      </diagonal>
    </border>
    <border diagonalUp="1" diagonalDown="1">
      <left/>
      <right/>
      <top/>
      <bottom/>
      <diagonal style="thin">
        <color indexed="64"/>
      </diagonal>
    </border>
    <border diagonalUp="1" diagonalDown="1">
      <left/>
      <right style="medium">
        <color indexed="64"/>
      </right>
      <top/>
      <bottom/>
      <diagonal style="thin">
        <color indexed="64"/>
      </diagonal>
    </border>
    <border diagonalUp="1" diagonalDown="1"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 style="thin">
        <color indexed="64"/>
      </diagonal>
    </border>
    <border>
      <left/>
      <right/>
      <top style="thin">
        <color indexed="64"/>
      </top>
      <bottom/>
      <diagonal/>
    </border>
    <border diagonalUp="1" diagonalDown="1">
      <left style="medium">
        <color indexed="64"/>
      </left>
      <right/>
      <top/>
      <bottom style="medium">
        <color indexed="64"/>
      </bottom>
      <diagonal style="thin">
        <color indexed="64"/>
      </diagonal>
    </border>
    <border diagonalUp="1" diagonalDown="1">
      <left/>
      <right/>
      <top/>
      <bottom style="medium">
        <color indexed="64"/>
      </bottom>
      <diagonal style="thin">
        <color indexed="64"/>
      </diagonal>
    </border>
    <border diagonalUp="1" diagonalDown="1">
      <left/>
      <right style="medium">
        <color indexed="64"/>
      </right>
      <top/>
      <bottom style="medium">
        <color indexed="64"/>
      </bottom>
      <diagonal style="thin">
        <color indexed="64"/>
      </diagonal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ck">
        <color indexed="64"/>
      </right>
      <top/>
      <bottom style="thin">
        <color theme="0" tint="-0.14996795556505021"/>
      </bottom>
      <diagonal/>
    </border>
    <border>
      <left/>
      <right style="thick">
        <color indexed="64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 style="thick">
        <color indexed="64"/>
      </right>
      <top style="medium">
        <color indexed="64"/>
      </top>
      <bottom style="thin">
        <color theme="0" tint="-0.14996795556505021"/>
      </bottom>
      <diagonal/>
    </border>
    <border>
      <left style="thin">
        <color indexed="64"/>
      </left>
      <right/>
      <top style="thin">
        <color theme="0" tint="-0.14996795556505021"/>
      </top>
      <bottom/>
      <diagonal/>
    </border>
    <border>
      <left/>
      <right/>
      <top style="thin">
        <color theme="0" tint="-0.14996795556505021"/>
      </top>
      <bottom/>
      <diagonal/>
    </border>
    <border>
      <left/>
      <right style="thick">
        <color indexed="64"/>
      </right>
      <top style="thin">
        <color theme="0" tint="-0.14996795556505021"/>
      </top>
      <bottom/>
      <diagonal/>
    </border>
  </borders>
  <cellStyleXfs count="6">
    <xf numFmtId="0" fontId="0" fillId="0" borderId="0"/>
    <xf numFmtId="167" fontId="1" fillId="0" borderId="0" applyFont="0" applyFill="0" applyBorder="0" applyAlignment="0" applyProtection="0"/>
    <xf numFmtId="0" fontId="24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26" fillId="0" borderId="0"/>
    <xf numFmtId="9" fontId="1" fillId="0" borderId="0" applyFont="0" applyFill="0" applyBorder="0" applyAlignment="0" applyProtection="0"/>
  </cellStyleXfs>
  <cellXfs count="1328">
    <xf numFmtId="0" fontId="0" fillId="0" borderId="0" xfId="0"/>
    <xf numFmtId="0" fontId="2" fillId="0" borderId="0" xfId="3" applyFont="1"/>
    <xf numFmtId="0" fontId="3" fillId="0" borderId="0" xfId="3" applyFont="1"/>
    <xf numFmtId="0" fontId="4" fillId="0" borderId="0" xfId="3" applyFont="1" applyAlignment="1">
      <alignment horizontal="left"/>
    </xf>
    <xf numFmtId="0" fontId="7" fillId="0" borderId="0" xfId="3" applyFont="1" applyAlignment="1">
      <alignment horizontal="center" vertical="center"/>
    </xf>
    <xf numFmtId="164" fontId="8" fillId="0" borderId="0" xfId="3" applyNumberFormat="1" applyFont="1" applyAlignment="1">
      <alignment horizontal="center"/>
    </xf>
    <xf numFmtId="0" fontId="10" fillId="0" borderId="4" xfId="3" applyFont="1" applyBorder="1" applyAlignment="1">
      <alignment horizontal="center" vertical="center"/>
    </xf>
    <xf numFmtId="0" fontId="10" fillId="0" borderId="5" xfId="3" applyFont="1" applyBorder="1" applyAlignment="1">
      <alignment horizontal="left" vertical="center"/>
    </xf>
    <xf numFmtId="0" fontId="10" fillId="0" borderId="6" xfId="3" applyFont="1" applyBorder="1" applyAlignment="1">
      <alignment horizontal="center" vertical="center"/>
    </xf>
    <xf numFmtId="0" fontId="10" fillId="0" borderId="0" xfId="3" applyFont="1" applyAlignment="1" applyProtection="1">
      <alignment horizontal="center" vertical="center"/>
      <protection locked="0"/>
    </xf>
    <xf numFmtId="0" fontId="8" fillId="0" borderId="3" xfId="3" applyFont="1" applyBorder="1" applyAlignment="1">
      <alignment horizontal="center" vertical="center"/>
    </xf>
    <xf numFmtId="0" fontId="10" fillId="0" borderId="7" xfId="3" applyFont="1" applyBorder="1" applyAlignment="1">
      <alignment horizontal="center" vertical="center"/>
    </xf>
    <xf numFmtId="165" fontId="10" fillId="0" borderId="8" xfId="3" quotePrefix="1" applyNumberFormat="1" applyFont="1" applyBorder="1" applyAlignment="1">
      <alignment horizontal="center" vertical="center"/>
    </xf>
    <xf numFmtId="0" fontId="10" fillId="0" borderId="9" xfId="3" applyFont="1" applyBorder="1" applyAlignment="1">
      <alignment horizontal="center" vertical="center"/>
    </xf>
    <xf numFmtId="0" fontId="12" fillId="0" borderId="18" xfId="3" applyFont="1" applyBorder="1" applyAlignment="1">
      <alignment horizontal="center" vertical="center"/>
    </xf>
    <xf numFmtId="0" fontId="10" fillId="0" borderId="0" xfId="3" applyFont="1" applyAlignment="1">
      <alignment horizontal="center" vertical="center"/>
    </xf>
    <xf numFmtId="0" fontId="10" fillId="0" borderId="0" xfId="3" applyFont="1" applyAlignment="1">
      <alignment horizontal="right" vertical="center"/>
    </xf>
    <xf numFmtId="0" fontId="10" fillId="0" borderId="0" xfId="3" applyFont="1" applyAlignment="1">
      <alignment horizontal="left" vertical="center" wrapText="1"/>
    </xf>
    <xf numFmtId="0" fontId="10" fillId="0" borderId="0" xfId="3" applyFont="1" applyAlignment="1">
      <alignment horizontal="left" vertical="center"/>
    </xf>
    <xf numFmtId="0" fontId="10" fillId="0" borderId="19" xfId="3" applyFont="1" applyBorder="1" applyAlignment="1">
      <alignment horizontal="left" vertical="center" wrapText="1"/>
    </xf>
    <xf numFmtId="0" fontId="13" fillId="0" borderId="0" xfId="3" applyFont="1" applyAlignment="1">
      <alignment horizontal="center" vertical="center"/>
    </xf>
    <xf numFmtId="0" fontId="10" fillId="0" borderId="20" xfId="3" applyFont="1" applyBorder="1" applyAlignment="1">
      <alignment horizontal="center" vertical="center"/>
    </xf>
    <xf numFmtId="0" fontId="12" fillId="0" borderId="0" xfId="3" applyFont="1" applyAlignment="1" applyProtection="1">
      <alignment vertical="center"/>
      <protection locked="0"/>
    </xf>
    <xf numFmtId="0" fontId="10" fillId="0" borderId="28" xfId="3" applyFont="1" applyBorder="1" applyAlignment="1">
      <alignment horizontal="center" vertical="center"/>
    </xf>
    <xf numFmtId="0" fontId="10" fillId="0" borderId="0" xfId="3" applyFont="1" applyAlignment="1">
      <alignment vertical="center"/>
    </xf>
    <xf numFmtId="0" fontId="10" fillId="0" borderId="0" xfId="3" applyFont="1" applyAlignment="1">
      <alignment horizontal="right" vertical="center" wrapText="1"/>
    </xf>
    <xf numFmtId="0" fontId="10" fillId="0" borderId="19" xfId="3" applyFont="1" applyBorder="1" applyAlignment="1">
      <alignment vertical="center"/>
    </xf>
    <xf numFmtId="0" fontId="13" fillId="0" borderId="0" xfId="3" applyFont="1" applyAlignment="1">
      <alignment vertical="center"/>
    </xf>
    <xf numFmtId="0" fontId="10" fillId="0" borderId="0" xfId="3" applyFont="1" applyAlignment="1" applyProtection="1">
      <alignment vertical="center"/>
      <protection locked="0"/>
    </xf>
    <xf numFmtId="0" fontId="10" fillId="0" borderId="0" xfId="3" applyFont="1" applyAlignment="1">
      <alignment vertical="center" wrapText="1"/>
    </xf>
    <xf numFmtId="0" fontId="13" fillId="0" borderId="0" xfId="3" applyFont="1" applyAlignment="1">
      <alignment horizontal="left" vertical="center"/>
    </xf>
    <xf numFmtId="0" fontId="10" fillId="0" borderId="0" xfId="3" applyFont="1" applyAlignment="1">
      <alignment horizontal="left"/>
    </xf>
    <xf numFmtId="0" fontId="17" fillId="0" borderId="0" xfId="3" applyFont="1" applyAlignment="1">
      <alignment horizontal="left" vertical="center"/>
    </xf>
    <xf numFmtId="4" fontId="19" fillId="0" borderId="0" xfId="3" applyNumberFormat="1" applyFont="1" applyAlignment="1">
      <alignment vertical="center"/>
    </xf>
    <xf numFmtId="16" fontId="10" fillId="0" borderId="0" xfId="3" quotePrefix="1" applyNumberFormat="1" applyFont="1" applyAlignment="1">
      <alignment horizontal="right" vertical="center" wrapText="1"/>
    </xf>
    <xf numFmtId="0" fontId="2" fillId="0" borderId="29" xfId="3" applyFont="1" applyBorder="1" applyAlignment="1" applyProtection="1">
      <alignment horizontal="center" vertical="center"/>
      <protection locked="0"/>
    </xf>
    <xf numFmtId="0" fontId="2" fillId="0" borderId="0" xfId="3" applyFont="1" applyAlignment="1" applyProtection="1">
      <alignment horizontal="center" vertical="center"/>
      <protection locked="0"/>
    </xf>
    <xf numFmtId="0" fontId="2" fillId="0" borderId="20" xfId="3" applyFont="1" applyBorder="1" applyAlignment="1" applyProtection="1">
      <alignment horizontal="center" vertical="center"/>
      <protection locked="0"/>
    </xf>
    <xf numFmtId="0" fontId="10" fillId="0" borderId="28" xfId="3" applyFont="1" applyBorder="1" applyAlignment="1" applyProtection="1">
      <alignment horizontal="center" vertical="center"/>
      <protection locked="0"/>
    </xf>
    <xf numFmtId="0" fontId="10" fillId="0" borderId="0" xfId="3" applyFont="1" applyAlignment="1" applyProtection="1">
      <alignment horizontal="right" vertical="center"/>
      <protection locked="0"/>
    </xf>
    <xf numFmtId="0" fontId="10" fillId="0" borderId="0" xfId="3" applyFont="1" applyAlignment="1" applyProtection="1">
      <alignment horizontal="left" vertical="center"/>
      <protection locked="0"/>
    </xf>
    <xf numFmtId="0" fontId="10" fillId="0" borderId="0" xfId="3" applyFont="1" applyAlignment="1" applyProtection="1">
      <alignment horizontal="left" vertical="center" wrapText="1"/>
      <protection locked="0"/>
    </xf>
    <xf numFmtId="0" fontId="10" fillId="0" borderId="0" xfId="3" applyFont="1" applyAlignment="1" applyProtection="1">
      <alignment horizontal="right" vertical="center" wrapText="1"/>
      <protection locked="0"/>
    </xf>
    <xf numFmtId="0" fontId="10" fillId="0" borderId="19" xfId="3" applyFont="1" applyBorder="1" applyAlignment="1" applyProtection="1">
      <alignment vertical="center"/>
      <protection locked="0"/>
    </xf>
    <xf numFmtId="0" fontId="10" fillId="0" borderId="20" xfId="3" applyFont="1" applyBorder="1" applyAlignment="1" applyProtection="1">
      <alignment horizontal="center" vertical="center"/>
      <protection locked="0"/>
    </xf>
    <xf numFmtId="0" fontId="10" fillId="0" borderId="29" xfId="3" applyFont="1" applyBorder="1" applyAlignment="1" applyProtection="1">
      <alignment horizontal="center" vertical="center"/>
      <protection locked="0"/>
    </xf>
    <xf numFmtId="0" fontId="10" fillId="0" borderId="0" xfId="3" applyFont="1" applyAlignment="1" applyProtection="1">
      <alignment horizontal="right"/>
      <protection locked="0"/>
    </xf>
    <xf numFmtId="0" fontId="10" fillId="0" borderId="0" xfId="3" applyFont="1" applyAlignment="1" applyProtection="1">
      <alignment horizontal="left"/>
      <protection locked="0"/>
    </xf>
    <xf numFmtId="0" fontId="18" fillId="0" borderId="28" xfId="3" applyFont="1" applyBorder="1" applyAlignment="1" applyProtection="1">
      <alignment horizontal="center" vertical="center"/>
      <protection locked="0"/>
    </xf>
    <xf numFmtId="0" fontId="18" fillId="0" borderId="0" xfId="3" applyFont="1" applyAlignment="1" applyProtection="1">
      <alignment vertical="center"/>
      <protection locked="0"/>
    </xf>
    <xf numFmtId="0" fontId="18" fillId="0" borderId="19" xfId="3" applyFont="1" applyBorder="1" applyAlignment="1" applyProtection="1">
      <alignment vertical="center"/>
      <protection locked="0"/>
    </xf>
    <xf numFmtId="0" fontId="18" fillId="0" borderId="0" xfId="3" applyFont="1" applyAlignment="1" applyProtection="1">
      <alignment horizontal="right" vertical="center"/>
      <protection locked="0"/>
    </xf>
    <xf numFmtId="0" fontId="18" fillId="0" borderId="0" xfId="3" applyFont="1" applyAlignment="1" applyProtection="1">
      <alignment horizontal="left"/>
      <protection locked="0"/>
    </xf>
    <xf numFmtId="0" fontId="18" fillId="0" borderId="20" xfId="3" applyFont="1" applyBorder="1" applyAlignment="1" applyProtection="1">
      <alignment horizontal="center" vertical="center"/>
      <protection locked="0"/>
    </xf>
    <xf numFmtId="0" fontId="18" fillId="0" borderId="0" xfId="3" applyFont="1" applyAlignment="1" applyProtection="1">
      <alignment horizontal="left" vertical="center" wrapText="1"/>
      <protection locked="0"/>
    </xf>
    <xf numFmtId="0" fontId="18" fillId="0" borderId="0" xfId="3" applyFont="1" applyAlignment="1" applyProtection="1">
      <alignment horizontal="right" vertical="center" wrapText="1"/>
      <protection locked="0"/>
    </xf>
    <xf numFmtId="0" fontId="10" fillId="0" borderId="36" xfId="3" applyFont="1" applyBorder="1" applyAlignment="1" applyProtection="1">
      <alignment horizontal="center" vertical="center"/>
      <protection locked="0"/>
    </xf>
    <xf numFmtId="0" fontId="10" fillId="0" borderId="37" xfId="3" applyFont="1" applyBorder="1" applyAlignment="1" applyProtection="1">
      <alignment horizontal="center" vertical="center"/>
      <protection locked="0"/>
    </xf>
    <xf numFmtId="0" fontId="10" fillId="0" borderId="62" xfId="3" applyFont="1" applyBorder="1" applyAlignment="1" applyProtection="1">
      <alignment horizontal="center" vertical="center"/>
      <protection locked="0"/>
    </xf>
    <xf numFmtId="0" fontId="10" fillId="0" borderId="37" xfId="3" applyFont="1" applyBorder="1" applyAlignment="1" applyProtection="1">
      <alignment horizontal="right" vertical="center"/>
      <protection locked="0"/>
    </xf>
    <xf numFmtId="0" fontId="10" fillId="0" borderId="37" xfId="3" applyFont="1" applyBorder="1" applyAlignment="1" applyProtection="1">
      <alignment horizontal="left" vertical="center"/>
      <protection locked="0"/>
    </xf>
    <xf numFmtId="0" fontId="10" fillId="0" borderId="37" xfId="3" applyFont="1" applyBorder="1" applyAlignment="1" applyProtection="1">
      <alignment vertical="center"/>
      <protection locked="0"/>
    </xf>
    <xf numFmtId="0" fontId="10" fillId="0" borderId="63" xfId="3" applyFont="1" applyBorder="1" applyAlignment="1" applyProtection="1">
      <alignment vertical="center"/>
      <protection locked="0"/>
    </xf>
    <xf numFmtId="0" fontId="10" fillId="0" borderId="38" xfId="3" applyFont="1" applyBorder="1" applyAlignment="1" applyProtection="1">
      <alignment horizontal="center" vertical="center"/>
      <protection locked="0"/>
    </xf>
    <xf numFmtId="0" fontId="20" fillId="0" borderId="0" xfId="3" applyFont="1" applyProtection="1">
      <protection locked="0"/>
    </xf>
    <xf numFmtId="0" fontId="20" fillId="0" borderId="0" xfId="3" applyFont="1" applyAlignment="1" applyProtection="1">
      <alignment horizontal="right"/>
      <protection locked="0"/>
    </xf>
    <xf numFmtId="0" fontId="20" fillId="0" borderId="0" xfId="3" applyFont="1" applyAlignment="1" applyProtection="1">
      <alignment horizontal="left"/>
      <protection locked="0"/>
    </xf>
    <xf numFmtId="0" fontId="12" fillId="0" borderId="0" xfId="3" applyFont="1" applyAlignment="1">
      <alignment horizontal="center" vertical="center"/>
    </xf>
    <xf numFmtId="0" fontId="13" fillId="0" borderId="29" xfId="3" applyFont="1" applyBorder="1" applyAlignment="1">
      <alignment horizontal="left" vertical="center"/>
    </xf>
    <xf numFmtId="0" fontId="2" fillId="0" borderId="0" xfId="3" applyFont="1" applyAlignment="1">
      <alignment horizontal="center" vertical="center"/>
    </xf>
    <xf numFmtId="0" fontId="10" fillId="0" borderId="29" xfId="3" applyFont="1" applyBorder="1" applyAlignment="1">
      <alignment vertical="center"/>
    </xf>
    <xf numFmtId="4" fontId="17" fillId="0" borderId="0" xfId="3" applyNumberFormat="1" applyFont="1" applyAlignment="1">
      <alignment horizontal="center" vertical="center"/>
    </xf>
    <xf numFmtId="0" fontId="10" fillId="0" borderId="20" xfId="3" applyFont="1" applyBorder="1" applyAlignment="1">
      <alignment horizontal="left" vertical="center"/>
    </xf>
    <xf numFmtId="0" fontId="10" fillId="0" borderId="29" xfId="3" applyFont="1" applyBorder="1" applyAlignment="1">
      <alignment horizontal="left" vertical="center"/>
    </xf>
    <xf numFmtId="2" fontId="10" fillId="0" borderId="0" xfId="3" applyNumberFormat="1" applyFont="1" applyAlignment="1">
      <alignment horizontal="right" vertical="center"/>
    </xf>
    <xf numFmtId="2" fontId="19" fillId="0" borderId="0" xfId="3" applyNumberFormat="1" applyFont="1" applyAlignment="1">
      <alignment horizontal="right" vertical="center"/>
    </xf>
    <xf numFmtId="0" fontId="10" fillId="0" borderId="29" xfId="3" applyFont="1" applyBorder="1" applyAlignment="1">
      <alignment horizontal="center" vertical="center"/>
    </xf>
    <xf numFmtId="0" fontId="21" fillId="0" borderId="0" xfId="3" applyFont="1" applyAlignment="1">
      <alignment horizontal="left" vertical="center"/>
    </xf>
    <xf numFmtId="2" fontId="10" fillId="0" borderId="0" xfId="3" applyNumberFormat="1" applyFont="1" applyAlignment="1">
      <alignment horizontal="center" vertical="center"/>
    </xf>
    <xf numFmtId="2" fontId="17" fillId="0" borderId="0" xfId="3" applyNumberFormat="1" applyFont="1" applyAlignment="1">
      <alignment horizontal="left" vertical="center"/>
    </xf>
    <xf numFmtId="0" fontId="17" fillId="0" borderId="0" xfId="3" applyFont="1" applyAlignment="1">
      <alignment horizontal="center" vertical="center"/>
    </xf>
    <xf numFmtId="0" fontId="17" fillId="0" borderId="0" xfId="3" applyFont="1" applyAlignment="1" applyProtection="1">
      <alignment horizontal="left" vertical="center"/>
      <protection locked="0"/>
    </xf>
    <xf numFmtId="2" fontId="10" fillId="0" borderId="0" xfId="3" applyNumberFormat="1" applyFont="1" applyAlignment="1">
      <alignment horizontal="left" vertical="center"/>
    </xf>
    <xf numFmtId="2" fontId="19" fillId="0" borderId="0" xfId="3" applyNumberFormat="1" applyFont="1" applyAlignment="1">
      <alignment horizontal="left" vertical="center"/>
    </xf>
    <xf numFmtId="49" fontId="17" fillId="0" borderId="0" xfId="3" applyNumberFormat="1" applyFont="1" applyAlignment="1" applyProtection="1">
      <alignment vertical="center"/>
      <protection locked="0"/>
    </xf>
    <xf numFmtId="49" fontId="17" fillId="0" borderId="0" xfId="3" applyNumberFormat="1" applyFont="1" applyAlignment="1">
      <alignment vertical="center"/>
    </xf>
    <xf numFmtId="167" fontId="10" fillId="0" borderId="0" xfId="1" applyFont="1" applyBorder="1" applyAlignment="1" applyProtection="1">
      <alignment horizontal="right" vertical="center"/>
    </xf>
    <xf numFmtId="0" fontId="19" fillId="0" borderId="0" xfId="1" applyNumberFormat="1" applyFont="1" applyBorder="1" applyAlignment="1" applyProtection="1">
      <alignment horizontal="right" vertical="center"/>
    </xf>
    <xf numFmtId="0" fontId="22" fillId="0" borderId="0" xfId="1" applyNumberFormat="1" applyFont="1" applyBorder="1" applyAlignment="1" applyProtection="1">
      <alignment horizontal="left" vertical="center"/>
    </xf>
    <xf numFmtId="1" fontId="17" fillId="0" borderId="0" xfId="3" quotePrefix="1" applyNumberFormat="1" applyFont="1" applyAlignment="1" applyProtection="1">
      <alignment vertical="center"/>
      <protection locked="0"/>
    </xf>
    <xf numFmtId="14" fontId="17" fillId="0" borderId="0" xfId="3" quotePrefix="1" applyNumberFormat="1" applyFont="1" applyAlignment="1">
      <alignment vertical="center"/>
    </xf>
    <xf numFmtId="0" fontId="19" fillId="0" borderId="0" xfId="1" applyNumberFormat="1" applyFont="1" applyBorder="1" applyAlignment="1" applyProtection="1">
      <alignment horizontal="left" vertical="center"/>
    </xf>
    <xf numFmtId="0" fontId="19" fillId="0" borderId="0" xfId="3" applyFont="1" applyAlignment="1">
      <alignment horizontal="right" vertical="center"/>
    </xf>
    <xf numFmtId="0" fontId="19" fillId="0" borderId="0" xfId="3" applyFont="1" applyAlignment="1">
      <alignment horizontal="left" vertical="center"/>
    </xf>
    <xf numFmtId="0" fontId="19" fillId="0" borderId="0" xfId="3" quotePrefix="1" applyFont="1" applyAlignment="1">
      <alignment horizontal="right" vertical="center"/>
    </xf>
    <xf numFmtId="49" fontId="21" fillId="0" borderId="0" xfId="3" applyNumberFormat="1" applyFont="1" applyAlignment="1">
      <alignment vertical="center"/>
    </xf>
    <xf numFmtId="0" fontId="10" fillId="0" borderId="0" xfId="3" quotePrefix="1" applyFont="1" applyAlignment="1">
      <alignment horizontal="left" vertical="center"/>
    </xf>
    <xf numFmtId="0" fontId="19" fillId="0" borderId="0" xfId="3" quotePrefix="1" applyFont="1" applyAlignment="1">
      <alignment horizontal="left" vertical="center"/>
    </xf>
    <xf numFmtId="0" fontId="10" fillId="0" borderId="29" xfId="3" quotePrefix="1" applyFont="1" applyBorder="1" applyAlignment="1">
      <alignment vertical="center"/>
    </xf>
    <xf numFmtId="0" fontId="23" fillId="0" borderId="0" xfId="3" applyFont="1" applyAlignment="1">
      <alignment horizontal="left" vertical="center"/>
    </xf>
    <xf numFmtId="2" fontId="17" fillId="0" borderId="0" xfId="3" applyNumberFormat="1" applyFont="1" applyAlignment="1" applyProtection="1">
      <alignment horizontal="left" vertical="center"/>
      <protection locked="0"/>
    </xf>
    <xf numFmtId="167" fontId="21" fillId="0" borderId="0" xfId="1" applyFont="1" applyFill="1" applyBorder="1" applyAlignment="1" applyProtection="1">
      <alignment horizontal="left" vertical="center"/>
    </xf>
    <xf numFmtId="49" fontId="21" fillId="0" borderId="0" xfId="3" applyNumberFormat="1" applyFont="1" applyAlignment="1">
      <alignment horizontal="left" vertical="center"/>
    </xf>
    <xf numFmtId="0" fontId="25" fillId="0" borderId="0" xfId="2" applyFont="1" applyBorder="1" applyAlignment="1" applyProtection="1">
      <alignment horizontal="right" vertical="center"/>
    </xf>
    <xf numFmtId="0" fontId="17" fillId="0" borderId="0" xfId="1" applyNumberFormat="1" applyFont="1" applyFill="1" applyBorder="1" applyAlignment="1" applyProtection="1">
      <alignment horizontal="left" vertical="center"/>
      <protection locked="0"/>
    </xf>
    <xf numFmtId="167" fontId="21" fillId="0" borderId="0" xfId="1" applyFont="1" applyFill="1" applyBorder="1" applyAlignment="1" applyProtection="1">
      <alignment horizontal="right" vertical="center"/>
    </xf>
    <xf numFmtId="167" fontId="10" fillId="0" borderId="0" xfId="1" applyFont="1" applyFill="1" applyBorder="1" applyAlignment="1" applyProtection="1">
      <alignment horizontal="center" vertical="center"/>
    </xf>
    <xf numFmtId="168" fontId="17" fillId="0" borderId="0" xfId="3" applyNumberFormat="1" applyFont="1" applyAlignment="1">
      <alignment vertical="center"/>
    </xf>
    <xf numFmtId="0" fontId="10" fillId="0" borderId="29" xfId="4" applyFont="1" applyBorder="1" applyAlignment="1">
      <alignment vertical="center"/>
    </xf>
    <xf numFmtId="0" fontId="10" fillId="0" borderId="0" xfId="4" applyFont="1" applyAlignment="1">
      <alignment horizontal="left" vertical="center"/>
    </xf>
    <xf numFmtId="0" fontId="10" fillId="0" borderId="0" xfId="4" applyFont="1" applyAlignment="1">
      <alignment horizontal="center" vertical="center"/>
    </xf>
    <xf numFmtId="0" fontId="17" fillId="0" borderId="0" xfId="4" applyFont="1" applyAlignment="1" applyProtection="1">
      <alignment vertical="center"/>
      <protection locked="0"/>
    </xf>
    <xf numFmtId="167" fontId="21" fillId="0" borderId="0" xfId="1" applyFont="1" applyFill="1" applyBorder="1" applyAlignment="1" applyProtection="1">
      <alignment vertical="center"/>
    </xf>
    <xf numFmtId="0" fontId="10" fillId="0" borderId="67" xfId="3" applyFont="1" applyBorder="1" applyAlignment="1">
      <alignment horizontal="left" vertical="center"/>
    </xf>
    <xf numFmtId="0" fontId="10" fillId="0" borderId="68" xfId="3" applyFont="1" applyBorder="1" applyAlignment="1">
      <alignment horizontal="left" vertical="center"/>
    </xf>
    <xf numFmtId="0" fontId="10" fillId="0" borderId="69" xfId="3" applyFont="1" applyBorder="1" applyAlignment="1">
      <alignment horizontal="left" vertical="center"/>
    </xf>
    <xf numFmtId="0" fontId="17" fillId="0" borderId="69" xfId="3" applyFont="1" applyBorder="1" applyAlignment="1">
      <alignment horizontal="center" vertical="center"/>
    </xf>
    <xf numFmtId="0" fontId="10" fillId="0" borderId="69" xfId="3" applyFont="1" applyBorder="1" applyAlignment="1">
      <alignment horizontal="center" vertical="center"/>
    </xf>
    <xf numFmtId="0" fontId="10" fillId="0" borderId="70" xfId="3" applyFont="1" applyBorder="1" applyAlignment="1">
      <alignment horizontal="left" vertical="center"/>
    </xf>
    <xf numFmtId="0" fontId="10" fillId="0" borderId="69" xfId="3" applyFont="1" applyBorder="1" applyAlignment="1">
      <alignment horizontal="right" vertical="center"/>
    </xf>
    <xf numFmtId="167" fontId="10" fillId="0" borderId="69" xfId="1" applyFont="1" applyBorder="1" applyAlignment="1" applyProtection="1">
      <alignment horizontal="center" vertical="center"/>
    </xf>
    <xf numFmtId="0" fontId="10" fillId="0" borderId="70" xfId="3" applyFont="1" applyBorder="1" applyAlignment="1">
      <alignment horizontal="center" vertical="center"/>
    </xf>
    <xf numFmtId="0" fontId="10" fillId="0" borderId="68" xfId="3" applyFont="1" applyBorder="1" applyAlignment="1">
      <alignment horizontal="center" vertical="center"/>
    </xf>
    <xf numFmtId="0" fontId="2" fillId="0" borderId="29" xfId="3" applyFont="1" applyBorder="1" applyAlignment="1">
      <alignment horizontal="center" vertical="center"/>
    </xf>
    <xf numFmtId="4" fontId="17" fillId="0" borderId="0" xfId="3" applyNumberFormat="1" applyFont="1" applyAlignment="1" applyProtection="1">
      <alignment horizontal="center" vertical="center"/>
      <protection locked="0"/>
    </xf>
    <xf numFmtId="169" fontId="17" fillId="0" borderId="0" xfId="3" applyNumberFormat="1" applyFont="1" applyAlignment="1">
      <alignment horizontal="center" vertical="center"/>
    </xf>
    <xf numFmtId="3" fontId="17" fillId="0" borderId="0" xfId="3" applyNumberFormat="1" applyFont="1" applyAlignment="1">
      <alignment horizontal="center" vertical="center"/>
    </xf>
    <xf numFmtId="0" fontId="17" fillId="0" borderId="0" xfId="3" applyFont="1" applyAlignment="1">
      <alignment horizontal="right" vertical="center"/>
    </xf>
    <xf numFmtId="0" fontId="27" fillId="0" borderId="0" xfId="3" applyFont="1" applyAlignment="1">
      <alignment horizontal="left" vertical="center"/>
    </xf>
    <xf numFmtId="167" fontId="28" fillId="7" borderId="71" xfId="1" applyFont="1" applyFill="1" applyBorder="1" applyAlignment="1" applyProtection="1">
      <alignment horizontal="left" vertical="center"/>
    </xf>
    <xf numFmtId="0" fontId="28" fillId="7" borderId="72" xfId="3" applyFont="1" applyFill="1" applyBorder="1" applyAlignment="1">
      <alignment horizontal="left" vertical="center"/>
    </xf>
    <xf numFmtId="167" fontId="10" fillId="0" borderId="0" xfId="1" applyFont="1" applyFill="1" applyBorder="1" applyAlignment="1" applyProtection="1">
      <alignment vertical="center"/>
    </xf>
    <xf numFmtId="167" fontId="28" fillId="7" borderId="73" xfId="1" applyFont="1" applyFill="1" applyBorder="1" applyAlignment="1" applyProtection="1">
      <alignment horizontal="left" vertical="center"/>
    </xf>
    <xf numFmtId="0" fontId="28" fillId="7" borderId="74" xfId="3" applyFont="1" applyFill="1" applyBorder="1" applyAlignment="1">
      <alignment horizontal="left" vertical="center"/>
    </xf>
    <xf numFmtId="0" fontId="21" fillId="0" borderId="0" xfId="3" quotePrefix="1" applyFont="1" applyAlignment="1">
      <alignment horizontal="left" vertical="center"/>
    </xf>
    <xf numFmtId="0" fontId="29" fillId="0" borderId="0" xfId="3" applyFont="1" applyAlignment="1">
      <alignment horizontal="left" vertical="center"/>
    </xf>
    <xf numFmtId="0" fontId="21" fillId="0" borderId="0" xfId="3" applyFont="1" applyAlignment="1">
      <alignment horizontal="right" vertical="center"/>
    </xf>
    <xf numFmtId="0" fontId="29" fillId="0" borderId="0" xfId="3" quotePrefix="1" applyFont="1" applyAlignment="1">
      <alignment horizontal="left" vertical="center"/>
    </xf>
    <xf numFmtId="0" fontId="30" fillId="0" borderId="0" xfId="3" applyFont="1" applyAlignment="1">
      <alignment vertical="center"/>
    </xf>
    <xf numFmtId="0" fontId="21" fillId="0" borderId="0" xfId="3" applyFont="1" applyAlignment="1">
      <alignment vertical="center"/>
    </xf>
    <xf numFmtId="3" fontId="30" fillId="0" borderId="0" xfId="3" applyNumberFormat="1" applyFont="1" applyAlignment="1">
      <alignment vertical="center"/>
    </xf>
    <xf numFmtId="4" fontId="17" fillId="0" borderId="0" xfId="3" applyNumberFormat="1" applyFont="1" applyAlignment="1">
      <alignment vertical="center"/>
    </xf>
    <xf numFmtId="4" fontId="10" fillId="0" borderId="0" xfId="3" applyNumberFormat="1" applyFont="1" applyAlignment="1">
      <alignment vertical="center"/>
    </xf>
    <xf numFmtId="0" fontId="10" fillId="0" borderId="29" xfId="3" applyFont="1" applyBorder="1" applyAlignment="1" applyProtection="1">
      <alignment horizontal="left" vertical="center"/>
      <protection locked="0"/>
    </xf>
    <xf numFmtId="0" fontId="10" fillId="0" borderId="20" xfId="3" applyFont="1" applyBorder="1" applyAlignment="1" applyProtection="1">
      <alignment horizontal="right" vertical="center"/>
      <protection locked="0"/>
    </xf>
    <xf numFmtId="0" fontId="13" fillId="0" borderId="29" xfId="3" applyFont="1" applyBorder="1" applyAlignment="1" applyProtection="1">
      <alignment horizontal="left" vertical="center"/>
      <protection locked="0"/>
    </xf>
    <xf numFmtId="0" fontId="19" fillId="0" borderId="0" xfId="3" applyFont="1" applyAlignment="1">
      <alignment horizontal="center" vertical="center"/>
    </xf>
    <xf numFmtId="0" fontId="1" fillId="0" borderId="0" xfId="3"/>
    <xf numFmtId="0" fontId="17" fillId="0" borderId="29" xfId="3" applyFont="1" applyBorder="1" applyAlignment="1">
      <alignment horizontal="right" vertical="center"/>
    </xf>
    <xf numFmtId="0" fontId="17" fillId="0" borderId="0" xfId="3" applyFont="1" applyAlignment="1">
      <alignment vertical="center"/>
    </xf>
    <xf numFmtId="0" fontId="10" fillId="0" borderId="29" xfId="3" applyFont="1" applyBorder="1" applyAlignment="1" applyProtection="1">
      <alignment vertical="center"/>
      <protection locked="0"/>
    </xf>
    <xf numFmtId="0" fontId="17" fillId="0" borderId="0" xfId="3" applyFont="1" applyAlignment="1" applyProtection="1">
      <alignment vertical="center"/>
      <protection locked="0"/>
    </xf>
    <xf numFmtId="0" fontId="10" fillId="0" borderId="29" xfId="3" applyFont="1" applyBorder="1" applyAlignment="1" applyProtection="1">
      <alignment readingOrder="1"/>
      <protection locked="0"/>
    </xf>
    <xf numFmtId="2" fontId="10" fillId="0" borderId="0" xfId="3" applyNumberFormat="1" applyFont="1" applyAlignment="1" applyProtection="1">
      <alignment horizontal="center" vertical="center"/>
      <protection locked="0"/>
    </xf>
    <xf numFmtId="170" fontId="10" fillId="0" borderId="0" xfId="5" applyNumberFormat="1" applyFont="1" applyFill="1" applyBorder="1" applyAlignment="1" applyProtection="1">
      <alignment horizontal="center" vertical="center"/>
      <protection locked="0"/>
    </xf>
    <xf numFmtId="170" fontId="10" fillId="0" borderId="20" xfId="5" applyNumberFormat="1" applyFont="1" applyFill="1" applyBorder="1" applyAlignment="1" applyProtection="1">
      <alignment horizontal="center" vertical="center"/>
      <protection locked="0"/>
    </xf>
    <xf numFmtId="2" fontId="13" fillId="0" borderId="0" xfId="3" applyNumberFormat="1" applyFont="1" applyAlignment="1">
      <alignment horizontal="left"/>
    </xf>
    <xf numFmtId="2" fontId="10" fillId="0" borderId="0" xfId="3" applyNumberFormat="1" applyFont="1" applyAlignment="1">
      <alignment horizontal="left"/>
    </xf>
    <xf numFmtId="2" fontId="10" fillId="0" borderId="0" xfId="3" applyNumberFormat="1" applyFont="1" applyAlignment="1">
      <alignment horizontal="center"/>
    </xf>
    <xf numFmtId="2" fontId="19" fillId="0" borderId="0" xfId="3" quotePrefix="1" applyNumberFormat="1" applyFont="1" applyAlignment="1">
      <alignment horizontal="center"/>
    </xf>
    <xf numFmtId="2" fontId="10" fillId="0" borderId="20" xfId="3" applyNumberFormat="1" applyFont="1" applyBorder="1" applyAlignment="1">
      <alignment horizontal="center"/>
    </xf>
    <xf numFmtId="168" fontId="10" fillId="0" borderId="0" xfId="3" applyNumberFormat="1" applyFont="1" applyAlignment="1" applyProtection="1">
      <alignment horizontal="center" vertical="center"/>
      <protection locked="0"/>
    </xf>
    <xf numFmtId="169" fontId="17" fillId="0" borderId="0" xfId="3" applyNumberFormat="1" applyFont="1" applyAlignment="1">
      <alignment vertical="center"/>
    </xf>
    <xf numFmtId="0" fontId="10" fillId="0" borderId="29" xfId="3" applyFont="1" applyBorder="1" applyAlignment="1" applyProtection="1">
      <alignment horizontal="right" vertical="center"/>
      <protection locked="0"/>
    </xf>
    <xf numFmtId="0" fontId="10" fillId="0" borderId="36" xfId="3" applyFont="1" applyBorder="1" applyAlignment="1">
      <alignment horizontal="center" vertical="center"/>
    </xf>
    <xf numFmtId="0" fontId="10" fillId="0" borderId="37" xfId="3" applyFont="1" applyBorder="1" applyAlignment="1">
      <alignment horizontal="center" vertical="center"/>
    </xf>
    <xf numFmtId="0" fontId="10" fillId="0" borderId="38" xfId="3" applyFont="1" applyBorder="1" applyAlignment="1">
      <alignment horizontal="left" vertical="center"/>
    </xf>
    <xf numFmtId="2" fontId="10" fillId="0" borderId="36" xfId="3" applyNumberFormat="1" applyFont="1" applyBorder="1" applyAlignment="1">
      <alignment horizontal="left"/>
    </xf>
    <xf numFmtId="2" fontId="10" fillId="0" borderId="37" xfId="3" applyNumberFormat="1" applyFont="1" applyBorder="1" applyAlignment="1">
      <alignment horizontal="left"/>
    </xf>
    <xf numFmtId="2" fontId="10" fillId="0" borderId="37" xfId="3" applyNumberFormat="1" applyFont="1" applyBorder="1" applyAlignment="1">
      <alignment horizontal="center"/>
    </xf>
    <xf numFmtId="2" fontId="19" fillId="0" borderId="37" xfId="3" applyNumberFormat="1" applyFont="1" applyBorder="1" applyAlignment="1">
      <alignment horizontal="center"/>
    </xf>
    <xf numFmtId="2" fontId="19" fillId="0" borderId="37" xfId="3" quotePrefix="1" applyNumberFormat="1" applyFont="1" applyBorder="1" applyAlignment="1">
      <alignment horizontal="center"/>
    </xf>
    <xf numFmtId="2" fontId="10" fillId="0" borderId="38" xfId="3" applyNumberFormat="1" applyFont="1" applyBorder="1" applyAlignment="1">
      <alignment horizontal="center"/>
    </xf>
    <xf numFmtId="0" fontId="10" fillId="0" borderId="37" xfId="3" quotePrefix="1" applyFont="1" applyBorder="1" applyAlignment="1">
      <alignment horizontal="left" vertical="center"/>
    </xf>
    <xf numFmtId="0" fontId="10" fillId="0" borderId="37" xfId="3" applyFont="1" applyBorder="1" applyAlignment="1">
      <alignment horizontal="left" vertical="center"/>
    </xf>
    <xf numFmtId="0" fontId="10" fillId="0" borderId="37" xfId="3" applyFont="1" applyBorder="1" applyAlignment="1">
      <alignment horizontal="right" vertical="center"/>
    </xf>
    <xf numFmtId="0" fontId="10" fillId="0" borderId="36" xfId="3" applyFont="1" applyBorder="1" applyAlignment="1" applyProtection="1">
      <alignment horizontal="right" vertical="center"/>
      <protection locked="0"/>
    </xf>
    <xf numFmtId="0" fontId="10" fillId="0" borderId="54" xfId="3" applyFont="1" applyBorder="1" applyAlignment="1">
      <alignment horizontal="center" vertical="center"/>
    </xf>
    <xf numFmtId="0" fontId="10" fillId="0" borderId="13" xfId="3" applyFont="1" applyBorder="1" applyAlignment="1">
      <alignment horizontal="left" vertical="center"/>
    </xf>
    <xf numFmtId="0" fontId="10" fillId="0" borderId="20" xfId="3" applyFont="1" applyBorder="1" applyAlignment="1">
      <alignment horizontal="right" vertical="center"/>
    </xf>
    <xf numFmtId="0" fontId="31" fillId="0" borderId="4" xfId="3" applyFont="1" applyBorder="1" applyAlignment="1">
      <alignment horizontal="left" vertical="center"/>
    </xf>
    <xf numFmtId="0" fontId="10" fillId="0" borderId="13" xfId="3" applyFont="1" applyBorder="1" applyAlignment="1">
      <alignment horizontal="center" vertical="center"/>
    </xf>
    <xf numFmtId="0" fontId="10" fillId="0" borderId="75" xfId="3" applyFont="1" applyBorder="1" applyAlignment="1">
      <alignment horizontal="left" vertical="center"/>
    </xf>
    <xf numFmtId="0" fontId="32" fillId="0" borderId="0" xfId="3" applyFont="1" applyAlignment="1">
      <alignment horizontal="center" vertical="center"/>
    </xf>
    <xf numFmtId="0" fontId="10" fillId="0" borderId="29" xfId="3" quotePrefix="1" applyFont="1" applyBorder="1" applyAlignment="1">
      <alignment horizontal="left" vertical="center"/>
    </xf>
    <xf numFmtId="172" fontId="17" fillId="0" borderId="0" xfId="3" applyNumberFormat="1" applyFont="1" applyAlignment="1" applyProtection="1">
      <alignment horizontal="center" vertical="center"/>
      <protection locked="0"/>
    </xf>
    <xf numFmtId="3" fontId="2" fillId="0" borderId="0" xfId="3" applyNumberFormat="1" applyFont="1" applyAlignment="1">
      <alignment horizontal="center" vertical="center"/>
    </xf>
    <xf numFmtId="9" fontId="2" fillId="0" borderId="0" xfId="3" applyNumberFormat="1" applyFont="1" applyAlignment="1">
      <alignment horizontal="center" vertical="center"/>
    </xf>
    <xf numFmtId="0" fontId="18" fillId="0" borderId="0" xfId="3" applyFont="1" applyAlignment="1">
      <alignment vertical="center" wrapText="1"/>
    </xf>
    <xf numFmtId="0" fontId="18" fillId="0" borderId="20" xfId="3" applyFont="1" applyBorder="1" applyAlignment="1">
      <alignment vertical="center" wrapText="1"/>
    </xf>
    <xf numFmtId="0" fontId="10" fillId="0" borderId="4" xfId="3" applyFont="1" applyBorder="1" applyAlignment="1">
      <alignment horizontal="left" vertical="center"/>
    </xf>
    <xf numFmtId="2" fontId="10" fillId="0" borderId="13" xfId="3" applyNumberFormat="1" applyFont="1" applyBorder="1" applyAlignment="1">
      <alignment horizontal="center" vertical="center"/>
    </xf>
    <xf numFmtId="171" fontId="10" fillId="0" borderId="13" xfId="3" applyNumberFormat="1" applyFont="1" applyBorder="1" applyAlignment="1">
      <alignment horizontal="center" vertical="center"/>
    </xf>
    <xf numFmtId="171" fontId="10" fillId="0" borderId="21" xfId="3" applyNumberFormat="1" applyFont="1" applyBorder="1" applyAlignment="1">
      <alignment horizontal="center" vertical="center"/>
    </xf>
    <xf numFmtId="171" fontId="10" fillId="0" borderId="0" xfId="3" applyNumberFormat="1" applyFont="1" applyAlignment="1">
      <alignment horizontal="center" vertical="center"/>
    </xf>
    <xf numFmtId="171" fontId="10" fillId="0" borderId="20" xfId="3" applyNumberFormat="1" applyFont="1" applyBorder="1" applyAlignment="1">
      <alignment horizontal="center" vertical="center"/>
    </xf>
    <xf numFmtId="0" fontId="2" fillId="0" borderId="20" xfId="3" applyFont="1" applyBorder="1" applyAlignment="1">
      <alignment horizontal="center" vertical="center"/>
    </xf>
    <xf numFmtId="0" fontId="31" fillId="0" borderId="1" xfId="3" applyFont="1" applyBorder="1" applyAlignment="1">
      <alignment horizontal="left" vertical="center"/>
    </xf>
    <xf numFmtId="0" fontId="10" fillId="0" borderId="2" xfId="3" applyFont="1" applyBorder="1" applyAlignment="1">
      <alignment horizontal="left" vertical="center"/>
    </xf>
    <xf numFmtId="0" fontId="10" fillId="0" borderId="2" xfId="3" applyFont="1" applyBorder="1" applyAlignment="1">
      <alignment horizontal="center" vertical="center"/>
    </xf>
    <xf numFmtId="0" fontId="10" fillId="0" borderId="3" xfId="3" applyFont="1" applyBorder="1" applyAlignment="1">
      <alignment horizontal="center" vertical="center"/>
    </xf>
    <xf numFmtId="168" fontId="10" fillId="0" borderId="0" xfId="3" applyNumberFormat="1" applyFont="1" applyAlignment="1">
      <alignment horizontal="center" vertical="center"/>
    </xf>
    <xf numFmtId="2" fontId="19" fillId="0" borderId="0" xfId="3" quotePrefix="1" applyNumberFormat="1" applyFont="1" applyAlignment="1">
      <alignment horizontal="center" vertical="center"/>
    </xf>
    <xf numFmtId="2" fontId="19" fillId="0" borderId="0" xfId="3" quotePrefix="1" applyNumberFormat="1" applyFont="1" applyAlignment="1">
      <alignment vertical="center"/>
    </xf>
    <xf numFmtId="0" fontId="17" fillId="0" borderId="0" xfId="3" quotePrefix="1" applyFont="1" applyAlignment="1">
      <alignment horizontal="left" vertical="center"/>
    </xf>
    <xf numFmtId="0" fontId="17" fillId="0" borderId="0" xfId="3" quotePrefix="1" applyFont="1" applyAlignment="1">
      <alignment horizontal="center" vertical="center"/>
    </xf>
    <xf numFmtId="2" fontId="17" fillId="0" borderId="0" xfId="3" applyNumberFormat="1" applyFont="1" applyAlignment="1">
      <alignment horizontal="center" vertical="center"/>
    </xf>
    <xf numFmtId="0" fontId="10" fillId="0" borderId="75" xfId="3" applyFont="1" applyBorder="1" applyAlignment="1">
      <alignment horizontal="center" vertical="center"/>
    </xf>
    <xf numFmtId="0" fontId="10" fillId="0" borderId="92" xfId="3" applyFont="1" applyBorder="1" applyAlignment="1">
      <alignment horizontal="center" vertical="center"/>
    </xf>
    <xf numFmtId="0" fontId="2" fillId="0" borderId="13" xfId="3" applyFont="1" applyBorder="1" applyAlignment="1">
      <alignment horizontal="center" vertical="center"/>
    </xf>
    <xf numFmtId="0" fontId="10" fillId="0" borderId="86" xfId="3" applyFont="1" applyBorder="1" applyAlignment="1">
      <alignment horizontal="center" vertical="center"/>
    </xf>
    <xf numFmtId="0" fontId="10" fillId="0" borderId="66" xfId="3" applyFont="1" applyBorder="1" applyAlignment="1">
      <alignment horizontal="center" vertical="center"/>
    </xf>
    <xf numFmtId="0" fontId="2" fillId="0" borderId="93" xfId="3" applyFont="1" applyBorder="1" applyAlignment="1">
      <alignment horizontal="center" vertical="center"/>
    </xf>
    <xf numFmtId="0" fontId="2" fillId="0" borderId="94" xfId="3" applyFont="1" applyBorder="1" applyAlignment="1">
      <alignment horizontal="center" vertical="center"/>
    </xf>
    <xf numFmtId="0" fontId="2" fillId="0" borderId="95" xfId="3" applyFont="1" applyBorder="1" applyAlignment="1">
      <alignment horizontal="center" vertical="center"/>
    </xf>
    <xf numFmtId="0" fontId="32" fillId="0" borderId="70" xfId="3" applyFont="1" applyBorder="1" applyAlignment="1">
      <alignment horizontal="left" vertical="center"/>
    </xf>
    <xf numFmtId="0" fontId="32" fillId="0" borderId="69" xfId="3" applyFont="1" applyBorder="1" applyAlignment="1">
      <alignment horizontal="center" vertical="center" wrapText="1"/>
    </xf>
    <xf numFmtId="0" fontId="10" fillId="0" borderId="69" xfId="3" applyFont="1" applyBorder="1" applyAlignment="1">
      <alignment horizontal="center" vertical="center" wrapText="1"/>
    </xf>
    <xf numFmtId="0" fontId="10" fillId="0" borderId="69" xfId="3" applyFont="1" applyBorder="1" applyAlignment="1">
      <alignment horizontal="right" vertical="center" wrapText="1"/>
    </xf>
    <xf numFmtId="3" fontId="19" fillId="0" borderId="69" xfId="3" applyNumberFormat="1" applyFont="1" applyBorder="1" applyAlignment="1">
      <alignment horizontal="center" vertical="center"/>
    </xf>
    <xf numFmtId="0" fontId="18" fillId="0" borderId="69" xfId="3" applyFont="1" applyBorder="1" applyAlignment="1">
      <alignment horizontal="left" vertical="center"/>
    </xf>
    <xf numFmtId="168" fontId="10" fillId="0" borderId="69" xfId="3" applyNumberFormat="1" applyFont="1" applyBorder="1" applyAlignment="1">
      <alignment horizontal="center" vertical="center"/>
    </xf>
    <xf numFmtId="0" fontId="31" fillId="0" borderId="29" xfId="3" applyFont="1" applyBorder="1" applyAlignment="1">
      <alignment horizontal="left" vertical="center"/>
    </xf>
    <xf numFmtId="0" fontId="32" fillId="0" borderId="0" xfId="3" applyFont="1" applyAlignment="1">
      <alignment horizontal="center" vertical="center" wrapText="1"/>
    </xf>
    <xf numFmtId="0" fontId="10" fillId="0" borderId="0" xfId="3" applyFont="1" applyAlignment="1">
      <alignment horizontal="center" vertical="center" wrapText="1"/>
    </xf>
    <xf numFmtId="3" fontId="19" fillId="0" borderId="0" xfId="3" applyNumberFormat="1" applyFont="1" applyAlignment="1">
      <alignment horizontal="center" vertical="center"/>
    </xf>
    <xf numFmtId="0" fontId="18" fillId="0" borderId="0" xfId="3" applyFont="1" applyAlignment="1">
      <alignment horizontal="left" vertical="center"/>
    </xf>
    <xf numFmtId="0" fontId="32" fillId="0" borderId="29" xfId="3" quotePrefix="1" applyFont="1" applyBorder="1" applyAlignment="1">
      <alignment horizontal="left" vertical="center"/>
    </xf>
    <xf numFmtId="3" fontId="19" fillId="0" borderId="0" xfId="3" applyNumberFormat="1" applyFont="1" applyAlignment="1">
      <alignment vertical="center"/>
    </xf>
    <xf numFmtId="171" fontId="17" fillId="0" borderId="0" xfId="3" applyNumberFormat="1" applyFont="1" applyAlignment="1" applyProtection="1">
      <alignment horizontal="center" vertical="center"/>
      <protection locked="0"/>
    </xf>
    <xf numFmtId="0" fontId="32" fillId="0" borderId="0" xfId="3" applyFont="1" applyAlignment="1">
      <alignment horizontal="left" vertical="center" wrapText="1"/>
    </xf>
    <xf numFmtId="0" fontId="10" fillId="0" borderId="20" xfId="3" applyFont="1" applyBorder="1" applyAlignment="1">
      <alignment vertical="center" wrapText="1"/>
    </xf>
    <xf numFmtId="0" fontId="10" fillId="0" borderId="20" xfId="3" applyFont="1" applyBorder="1" applyAlignment="1">
      <alignment vertical="center"/>
    </xf>
    <xf numFmtId="3" fontId="10" fillId="0" borderId="0" xfId="3" applyNumberFormat="1" applyFont="1" applyAlignment="1">
      <alignment vertical="center"/>
    </xf>
    <xf numFmtId="3" fontId="19" fillId="0" borderId="0" xfId="3" quotePrefix="1" applyNumberFormat="1" applyFont="1" applyAlignment="1">
      <alignment vertical="center"/>
    </xf>
    <xf numFmtId="3" fontId="19" fillId="0" borderId="20" xfId="3" quotePrefix="1" applyNumberFormat="1" applyFont="1" applyBorder="1" applyAlignment="1">
      <alignment vertical="center"/>
    </xf>
    <xf numFmtId="3" fontId="17" fillId="0" borderId="0" xfId="3" applyNumberFormat="1" applyFont="1" applyAlignment="1">
      <alignment vertical="center"/>
    </xf>
    <xf numFmtId="0" fontId="19" fillId="0" borderId="0" xfId="3" quotePrefix="1" applyFont="1" applyAlignment="1">
      <alignment vertical="center"/>
    </xf>
    <xf numFmtId="169" fontId="19" fillId="0" borderId="0" xfId="3" quotePrefix="1" applyNumberFormat="1" applyFont="1" applyAlignment="1">
      <alignment vertical="center"/>
    </xf>
    <xf numFmtId="172" fontId="17" fillId="0" borderId="0" xfId="3" applyNumberFormat="1" applyFont="1" applyAlignment="1" applyProtection="1">
      <alignment vertical="center"/>
      <protection locked="0"/>
    </xf>
    <xf numFmtId="4" fontId="17" fillId="0" borderId="0" xfId="3" applyNumberFormat="1" applyFont="1" applyAlignment="1" applyProtection="1">
      <alignment vertical="center"/>
      <protection locked="0"/>
    </xf>
    <xf numFmtId="3" fontId="17" fillId="0" borderId="0" xfId="3" applyNumberFormat="1" applyFont="1" applyAlignment="1" applyProtection="1">
      <alignment vertical="center"/>
      <protection locked="0"/>
    </xf>
    <xf numFmtId="3" fontId="17" fillId="0" borderId="20" xfId="3" applyNumberFormat="1" applyFont="1" applyBorder="1" applyAlignment="1" applyProtection="1">
      <alignment vertical="center"/>
      <protection locked="0"/>
    </xf>
    <xf numFmtId="0" fontId="32" fillId="0" borderId="70" xfId="3" quotePrefix="1" applyFont="1" applyBorder="1" applyAlignment="1">
      <alignment horizontal="left" vertical="center"/>
    </xf>
    <xf numFmtId="3" fontId="19" fillId="0" borderId="69" xfId="3" applyNumberFormat="1" applyFont="1" applyBorder="1" applyAlignment="1">
      <alignment vertical="center"/>
    </xf>
    <xf numFmtId="0" fontId="19" fillId="0" borderId="69" xfId="3" quotePrefix="1" applyFont="1" applyBorder="1" applyAlignment="1">
      <alignment vertical="center"/>
    </xf>
    <xf numFmtId="3" fontId="19" fillId="0" borderId="69" xfId="3" quotePrefix="1" applyNumberFormat="1" applyFont="1" applyBorder="1" applyAlignment="1">
      <alignment vertical="center"/>
    </xf>
    <xf numFmtId="3" fontId="10" fillId="0" borderId="69" xfId="3" applyNumberFormat="1" applyFont="1" applyBorder="1" applyAlignment="1">
      <alignment vertical="center"/>
    </xf>
    <xf numFmtId="169" fontId="19" fillId="0" borderId="69" xfId="3" quotePrefix="1" applyNumberFormat="1" applyFont="1" applyBorder="1" applyAlignment="1">
      <alignment vertical="center"/>
    </xf>
    <xf numFmtId="3" fontId="19" fillId="0" borderId="68" xfId="3" quotePrefix="1" applyNumberFormat="1" applyFont="1" applyBorder="1" applyAlignment="1">
      <alignment vertical="center"/>
    </xf>
    <xf numFmtId="0" fontId="31" fillId="0" borderId="96" xfId="3" applyFont="1" applyBorder="1" applyAlignment="1">
      <alignment horizontal="left" vertical="center"/>
    </xf>
    <xf numFmtId="0" fontId="10" fillId="0" borderId="97" xfId="3" applyFont="1" applyBorder="1" applyAlignment="1">
      <alignment horizontal="center" vertical="center"/>
    </xf>
    <xf numFmtId="0" fontId="10" fillId="0" borderId="97" xfId="3" applyFont="1" applyBorder="1" applyAlignment="1">
      <alignment horizontal="left" vertical="center"/>
    </xf>
    <xf numFmtId="0" fontId="10" fillId="0" borderId="97" xfId="3" applyFont="1" applyBorder="1" applyAlignment="1">
      <alignment horizontal="right" vertical="center"/>
    </xf>
    <xf numFmtId="0" fontId="10" fillId="0" borderId="98" xfId="3" applyFont="1" applyBorder="1" applyAlignment="1">
      <alignment horizontal="center" vertical="center"/>
    </xf>
    <xf numFmtId="0" fontId="10" fillId="0" borderId="70" xfId="3" applyFont="1" applyBorder="1" applyAlignment="1">
      <alignment vertical="center"/>
    </xf>
    <xf numFmtId="0" fontId="10" fillId="0" borderId="69" xfId="3" applyFont="1" applyBorder="1" applyAlignment="1">
      <alignment vertical="center"/>
    </xf>
    <xf numFmtId="172" fontId="32" fillId="0" borderId="69" xfId="3" applyNumberFormat="1" applyFont="1" applyBorder="1" applyAlignment="1">
      <alignment vertical="center"/>
    </xf>
    <xf numFmtId="172" fontId="17" fillId="0" borderId="69" xfId="3" applyNumberFormat="1" applyFont="1" applyBorder="1" applyAlignment="1">
      <alignment vertical="center"/>
    </xf>
    <xf numFmtId="4" fontId="17" fillId="0" borderId="69" xfId="3" applyNumberFormat="1" applyFont="1" applyBorder="1" applyAlignment="1">
      <alignment vertical="center"/>
    </xf>
    <xf numFmtId="3" fontId="17" fillId="0" borderId="69" xfId="3" applyNumberFormat="1" applyFont="1" applyBorder="1" applyAlignment="1">
      <alignment vertical="center"/>
    </xf>
    <xf numFmtId="3" fontId="17" fillId="0" borderId="68" xfId="3" applyNumberFormat="1" applyFont="1" applyBorder="1" applyAlignment="1">
      <alignment vertical="center"/>
    </xf>
    <xf numFmtId="0" fontId="13" fillId="0" borderId="1" xfId="3" applyFont="1" applyBorder="1" applyAlignment="1">
      <alignment horizontal="left" vertical="center"/>
    </xf>
    <xf numFmtId="172" fontId="32" fillId="0" borderId="2" xfId="3" applyNumberFormat="1" applyFont="1" applyBorder="1" applyAlignment="1">
      <alignment horizontal="left" vertical="center"/>
    </xf>
    <xf numFmtId="172" fontId="17" fillId="0" borderId="2" xfId="3" applyNumberFormat="1" applyFont="1" applyBorder="1" applyAlignment="1">
      <alignment vertical="center"/>
    </xf>
    <xf numFmtId="4" fontId="17" fillId="0" borderId="2" xfId="3" applyNumberFormat="1" applyFont="1" applyBorder="1" applyAlignment="1">
      <alignment vertical="center"/>
    </xf>
    <xf numFmtId="4" fontId="17" fillId="0" borderId="3" xfId="3" applyNumberFormat="1" applyFont="1" applyBorder="1" applyAlignment="1">
      <alignment vertical="center"/>
    </xf>
    <xf numFmtId="3" fontId="10" fillId="0" borderId="29" xfId="3" quotePrefix="1" applyNumberFormat="1" applyFont="1" applyBorder="1" applyAlignment="1">
      <alignment vertical="center"/>
    </xf>
    <xf numFmtId="3" fontId="19" fillId="0" borderId="0" xfId="3" applyNumberFormat="1" applyFont="1" applyAlignment="1">
      <alignment horizontal="left" vertical="center"/>
    </xf>
    <xf numFmtId="3" fontId="19" fillId="0" borderId="29" xfId="3" applyNumberFormat="1" applyFont="1" applyBorder="1" applyAlignment="1">
      <alignment vertical="center"/>
    </xf>
    <xf numFmtId="0" fontId="10" fillId="0" borderId="0" xfId="3" quotePrefix="1" applyFont="1" applyAlignment="1">
      <alignment horizontal="center" vertical="center"/>
    </xf>
    <xf numFmtId="0" fontId="32" fillId="0" borderId="29" xfId="3" applyFont="1" applyBorder="1" applyAlignment="1">
      <alignment horizontal="left" vertical="center"/>
    </xf>
    <xf numFmtId="169" fontId="19" fillId="0" borderId="87" xfId="4" applyNumberFormat="1" applyFont="1" applyBorder="1" applyAlignment="1">
      <alignment horizontal="center" vertical="center"/>
    </xf>
    <xf numFmtId="1" fontId="19" fillId="0" borderId="87" xfId="4" applyNumberFormat="1" applyFont="1" applyBorder="1" applyAlignment="1">
      <alignment horizontal="center" vertical="center"/>
    </xf>
    <xf numFmtId="2" fontId="19" fillId="0" borderId="87" xfId="4" applyNumberFormat="1" applyFont="1" applyBorder="1" applyAlignment="1">
      <alignment horizontal="center" vertical="center"/>
    </xf>
    <xf numFmtId="2" fontId="19" fillId="0" borderId="1" xfId="4" applyNumberFormat="1" applyFont="1" applyBorder="1" applyAlignment="1">
      <alignment horizontal="center" vertical="center"/>
    </xf>
    <xf numFmtId="169" fontId="2" fillId="0" borderId="0" xfId="3" applyNumberFormat="1" applyFont="1" applyAlignment="1">
      <alignment horizontal="center" vertical="center"/>
    </xf>
    <xf numFmtId="2" fontId="2" fillId="0" borderId="0" xfId="3" applyNumberFormat="1" applyFont="1" applyAlignment="1">
      <alignment horizontal="center" vertical="center"/>
    </xf>
    <xf numFmtId="0" fontId="32" fillId="0" borderId="4" xfId="3" applyFont="1" applyBorder="1" applyAlignment="1">
      <alignment vertical="center" wrapText="1"/>
    </xf>
    <xf numFmtId="0" fontId="32" fillId="0" borderId="13" xfId="3" applyFont="1" applyBorder="1" applyAlignment="1">
      <alignment vertical="center" wrapText="1"/>
    </xf>
    <xf numFmtId="0" fontId="32" fillId="0" borderId="13" xfId="3" quotePrefix="1" applyFont="1" applyBorder="1" applyAlignment="1">
      <alignment vertical="center"/>
    </xf>
    <xf numFmtId="0" fontId="32" fillId="0" borderId="21" xfId="3" applyFont="1" applyBorder="1" applyAlignment="1">
      <alignment vertical="center" wrapText="1"/>
    </xf>
    <xf numFmtId="0" fontId="32" fillId="0" borderId="0" xfId="3" applyFont="1" applyAlignment="1">
      <alignment vertical="center" wrapText="1"/>
    </xf>
    <xf numFmtId="0" fontId="32" fillId="0" borderId="20" xfId="3" applyFont="1" applyBorder="1" applyAlignment="1">
      <alignment vertical="center" wrapText="1"/>
    </xf>
    <xf numFmtId="0" fontId="32" fillId="0" borderId="29" xfId="3" applyFont="1" applyBorder="1" applyAlignment="1">
      <alignment vertical="center" wrapText="1"/>
    </xf>
    <xf numFmtId="172" fontId="32" fillId="0" borderId="0" xfId="3" applyNumberFormat="1" applyFont="1" applyAlignment="1">
      <alignment vertical="center"/>
    </xf>
    <xf numFmtId="3" fontId="19" fillId="0" borderId="20" xfId="3" applyNumberFormat="1" applyFont="1" applyBorder="1" applyAlignment="1">
      <alignment vertical="center"/>
    </xf>
    <xf numFmtId="3" fontId="17" fillId="0" borderId="29" xfId="3" applyNumberFormat="1" applyFont="1" applyBorder="1" applyAlignment="1">
      <alignment vertical="center"/>
    </xf>
    <xf numFmtId="169" fontId="19" fillId="0" borderId="0" xfId="3" applyNumberFormat="1" applyFont="1" applyAlignment="1">
      <alignment horizontal="center" vertical="center"/>
    </xf>
    <xf numFmtId="1" fontId="19" fillId="0" borderId="0" xfId="3" applyNumberFormat="1" applyFont="1" applyAlignment="1">
      <alignment horizontal="center" vertical="center"/>
    </xf>
    <xf numFmtId="2" fontId="19" fillId="0" borderId="0" xfId="3" applyNumberFormat="1" applyFont="1" applyAlignment="1">
      <alignment horizontal="center" vertical="center"/>
    </xf>
    <xf numFmtId="172" fontId="32" fillId="0" borderId="0" xfId="3" applyNumberFormat="1" applyFont="1" applyAlignment="1">
      <alignment horizontal="left" vertical="center"/>
    </xf>
    <xf numFmtId="172" fontId="17" fillId="0" borderId="0" xfId="3" applyNumberFormat="1" applyFont="1" applyAlignment="1">
      <alignment vertical="center"/>
    </xf>
    <xf numFmtId="3" fontId="17" fillId="0" borderId="20" xfId="3" applyNumberFormat="1" applyFont="1" applyBorder="1" applyAlignment="1">
      <alignment vertical="center"/>
    </xf>
    <xf numFmtId="0" fontId="32" fillId="0" borderId="0" xfId="3" applyFont="1" applyAlignment="1">
      <alignment horizontal="left" vertical="center"/>
    </xf>
    <xf numFmtId="0" fontId="10" fillId="0" borderId="13" xfId="3" applyFont="1" applyBorder="1" applyAlignment="1">
      <alignment vertical="center"/>
    </xf>
    <xf numFmtId="169" fontId="19" fillId="0" borderId="13" xfId="3" quotePrefix="1" applyNumberFormat="1" applyFont="1" applyBorder="1" applyAlignment="1">
      <alignment vertical="center"/>
    </xf>
    <xf numFmtId="0" fontId="17" fillId="0" borderId="0" xfId="3" applyFont="1"/>
    <xf numFmtId="0" fontId="10" fillId="0" borderId="29" xfId="3" applyFont="1" applyBorder="1" applyAlignment="1">
      <alignment horizontal="center"/>
    </xf>
    <xf numFmtId="0" fontId="32" fillId="0" borderId="0" xfId="3" applyFont="1" applyAlignment="1">
      <alignment horizontal="left"/>
    </xf>
    <xf numFmtId="2" fontId="10" fillId="0" borderId="20" xfId="3" applyNumberFormat="1" applyFont="1" applyBorder="1" applyAlignment="1">
      <alignment horizontal="center" vertical="center"/>
    </xf>
    <xf numFmtId="3" fontId="32" fillId="0" borderId="0" xfId="3" applyNumberFormat="1" applyFont="1" applyAlignment="1">
      <alignment horizontal="center" vertical="center"/>
    </xf>
    <xf numFmtId="0" fontId="10" fillId="0" borderId="0" xfId="3" quotePrefix="1" applyFont="1" applyAlignment="1">
      <alignment horizontal="right" vertical="center"/>
    </xf>
    <xf numFmtId="0" fontId="10" fillId="0" borderId="0" xfId="3" applyFont="1" applyAlignment="1">
      <alignment horizontal="center"/>
    </xf>
    <xf numFmtId="0" fontId="10" fillId="0" borderId="20" xfId="3" applyFont="1" applyBorder="1" applyAlignment="1">
      <alignment horizontal="center"/>
    </xf>
    <xf numFmtId="0" fontId="19" fillId="0" borderId="0" xfId="3" applyFont="1" applyAlignment="1">
      <alignment vertical="center"/>
    </xf>
    <xf numFmtId="171" fontId="10" fillId="0" borderId="0" xfId="3" applyNumberFormat="1" applyFont="1" applyAlignment="1">
      <alignment horizontal="left" vertical="center"/>
    </xf>
    <xf numFmtId="0" fontId="19" fillId="2" borderId="103" xfId="3" applyFont="1" applyFill="1" applyBorder="1" applyAlignment="1">
      <alignment horizontal="center" vertical="center"/>
    </xf>
    <xf numFmtId="0" fontId="19" fillId="2" borderId="6" xfId="3" applyFont="1" applyFill="1" applyBorder="1" applyAlignment="1">
      <alignment horizontal="center" vertical="center"/>
    </xf>
    <xf numFmtId="0" fontId="32" fillId="0" borderId="0" xfId="3" applyFont="1" applyAlignment="1">
      <alignment vertical="center"/>
    </xf>
    <xf numFmtId="0" fontId="19" fillId="0" borderId="92" xfId="3" applyFont="1" applyBorder="1" applyAlignment="1">
      <alignment horizontal="center" vertical="center"/>
    </xf>
    <xf numFmtId="0" fontId="17" fillId="0" borderId="104" xfId="3" applyFont="1" applyBorder="1" applyAlignment="1">
      <alignment horizontal="center" vertical="center"/>
    </xf>
    <xf numFmtId="0" fontId="19" fillId="0" borderId="109" xfId="3" applyFont="1" applyBorder="1" applyAlignment="1">
      <alignment horizontal="center" vertical="center"/>
    </xf>
    <xf numFmtId="0" fontId="17" fillId="0" borderId="92" xfId="3" applyFont="1" applyBorder="1" applyAlignment="1">
      <alignment horizontal="center" vertical="center"/>
    </xf>
    <xf numFmtId="1" fontId="17" fillId="0" borderId="0" xfId="3" applyNumberFormat="1" applyFont="1" applyAlignment="1">
      <alignment horizontal="center" vertical="center"/>
    </xf>
    <xf numFmtId="0" fontId="19" fillId="0" borderId="108" xfId="3" applyFont="1" applyBorder="1" applyAlignment="1">
      <alignment horizontal="center" vertical="center"/>
    </xf>
    <xf numFmtId="0" fontId="19" fillId="0" borderId="114" xfId="3" applyFont="1" applyBorder="1" applyAlignment="1">
      <alignment horizontal="center" vertical="center"/>
    </xf>
    <xf numFmtId="0" fontId="17" fillId="0" borderId="110" xfId="3" applyFont="1" applyBorder="1" applyAlignment="1">
      <alignment horizontal="center" vertical="center"/>
    </xf>
    <xf numFmtId="0" fontId="10" fillId="0" borderId="0" xfId="1" applyNumberFormat="1" applyFont="1" applyFill="1" applyBorder="1" applyAlignment="1" applyProtection="1">
      <alignment horizontal="left" vertical="center"/>
    </xf>
    <xf numFmtId="0" fontId="17" fillId="0" borderId="88" xfId="3" applyFont="1" applyBorder="1" applyAlignment="1">
      <alignment horizontal="center" vertical="center"/>
    </xf>
    <xf numFmtId="167" fontId="10" fillId="0" borderId="20" xfId="1" applyFont="1" applyFill="1" applyBorder="1" applyAlignment="1" applyProtection="1">
      <alignment vertical="center"/>
    </xf>
    <xf numFmtId="171" fontId="17" fillId="0" borderId="0" xfId="3" applyNumberFormat="1" applyFont="1" applyAlignment="1">
      <alignment vertical="center"/>
    </xf>
    <xf numFmtId="1" fontId="17" fillId="0" borderId="0" xfId="3" applyNumberFormat="1" applyFont="1" applyAlignment="1">
      <alignment vertical="center"/>
    </xf>
    <xf numFmtId="0" fontId="17" fillId="0" borderId="108" xfId="3" applyFont="1" applyBorder="1" applyAlignment="1">
      <alignment horizontal="center" vertical="center"/>
    </xf>
    <xf numFmtId="0" fontId="32" fillId="0" borderId="13" xfId="3" applyFont="1" applyBorder="1" applyAlignment="1">
      <alignment vertical="center"/>
    </xf>
    <xf numFmtId="0" fontId="19" fillId="0" borderId="13" xfId="3" applyFont="1" applyBorder="1" applyAlignment="1">
      <alignment horizontal="center" vertical="center"/>
    </xf>
    <xf numFmtId="0" fontId="19" fillId="0" borderId="13" xfId="3" applyFont="1" applyBorder="1" applyAlignment="1">
      <alignment vertical="center"/>
    </xf>
    <xf numFmtId="0" fontId="13" fillId="0" borderId="0" xfId="1" applyNumberFormat="1" applyFont="1" applyBorder="1" applyAlignment="1" applyProtection="1">
      <alignment horizontal="left" vertical="center"/>
    </xf>
    <xf numFmtId="174" fontId="10" fillId="0" borderId="0" xfId="1" applyNumberFormat="1" applyFont="1" applyBorder="1" applyAlignment="1" applyProtection="1">
      <alignment horizontal="center" vertical="center"/>
    </xf>
    <xf numFmtId="1" fontId="17" fillId="0" borderId="0" xfId="3" applyNumberFormat="1" applyFont="1" applyAlignment="1" applyProtection="1">
      <alignment horizontal="center" vertical="center"/>
      <protection locked="0"/>
    </xf>
    <xf numFmtId="0" fontId="20" fillId="9" borderId="101" xfId="3" applyFont="1" applyFill="1" applyBorder="1" applyAlignment="1">
      <alignment horizontal="center" vertical="center"/>
    </xf>
    <xf numFmtId="0" fontId="19" fillId="0" borderId="21" xfId="3" applyFont="1" applyBorder="1" applyAlignment="1">
      <alignment vertical="center"/>
    </xf>
    <xf numFmtId="0" fontId="20" fillId="0" borderId="121" xfId="3" applyFont="1" applyBorder="1" applyAlignment="1">
      <alignment horizontal="center" vertical="center"/>
    </xf>
    <xf numFmtId="0" fontId="36" fillId="0" borderId="0" xfId="3" applyFont="1" applyAlignment="1">
      <alignment horizontal="left" vertical="center"/>
    </xf>
    <xf numFmtId="0" fontId="19" fillId="0" borderId="20" xfId="3" applyFont="1" applyBorder="1" applyAlignment="1">
      <alignment vertical="center"/>
    </xf>
    <xf numFmtId="0" fontId="20" fillId="0" borderId="74" xfId="3" applyFont="1" applyBorder="1" applyAlignment="1">
      <alignment horizontal="center" vertical="center"/>
    </xf>
    <xf numFmtId="2" fontId="10" fillId="0" borderId="0" xfId="3" applyNumberFormat="1" applyFont="1" applyAlignment="1">
      <alignment vertical="center" wrapText="1"/>
    </xf>
    <xf numFmtId="0" fontId="10" fillId="0" borderId="64" xfId="3" applyFont="1" applyBorder="1" applyAlignment="1">
      <alignment horizontal="left" vertical="center"/>
    </xf>
    <xf numFmtId="0" fontId="10" fillId="0" borderId="65" xfId="3" applyFont="1" applyBorder="1" applyAlignment="1">
      <alignment horizontal="center" vertical="center"/>
    </xf>
    <xf numFmtId="0" fontId="10" fillId="0" borderId="66" xfId="3" applyFont="1" applyBorder="1" applyAlignment="1">
      <alignment horizontal="left" vertical="center"/>
    </xf>
    <xf numFmtId="0" fontId="10" fillId="0" borderId="65" xfId="3" applyFont="1" applyBorder="1" applyAlignment="1">
      <alignment horizontal="left" vertical="center"/>
    </xf>
    <xf numFmtId="0" fontId="32" fillId="0" borderId="65" xfId="3" applyFont="1" applyBorder="1" applyAlignment="1">
      <alignment horizontal="left" vertical="center"/>
    </xf>
    <xf numFmtId="0" fontId="13" fillId="0" borderId="64" xfId="3" applyFont="1" applyBorder="1" applyAlignment="1">
      <alignment horizontal="left" vertical="center"/>
    </xf>
    <xf numFmtId="0" fontId="10" fillId="0" borderId="65" xfId="3" applyFont="1" applyBorder="1" applyAlignment="1">
      <alignment vertical="center"/>
    </xf>
    <xf numFmtId="0" fontId="19" fillId="0" borderId="65" xfId="3" applyFont="1" applyBorder="1" applyAlignment="1">
      <alignment horizontal="left" vertical="center"/>
    </xf>
    <xf numFmtId="174" fontId="10" fillId="0" borderId="65" xfId="1" applyNumberFormat="1" applyFont="1" applyBorder="1" applyAlignment="1" applyProtection="1">
      <alignment horizontal="left" vertical="center"/>
    </xf>
    <xf numFmtId="174" fontId="10" fillId="0" borderId="65" xfId="1" applyNumberFormat="1" applyFont="1" applyBorder="1" applyAlignment="1" applyProtection="1">
      <alignment horizontal="center" vertical="center"/>
    </xf>
    <xf numFmtId="167" fontId="10" fillId="0" borderId="65" xfId="1" applyFont="1" applyBorder="1" applyAlignment="1" applyProtection="1">
      <alignment vertical="center"/>
    </xf>
    <xf numFmtId="167" fontId="10" fillId="0" borderId="65" xfId="1" applyFont="1" applyBorder="1" applyAlignment="1" applyProtection="1">
      <alignment horizontal="center" vertical="center"/>
    </xf>
    <xf numFmtId="1" fontId="17" fillId="0" borderId="0" xfId="3" applyNumberFormat="1" applyFont="1" applyAlignment="1">
      <alignment horizontal="left" vertical="center"/>
    </xf>
    <xf numFmtId="174" fontId="10" fillId="0" borderId="0" xfId="1" applyNumberFormat="1" applyFont="1" applyFill="1" applyBorder="1" applyAlignment="1" applyProtection="1">
      <alignment horizontal="center" vertical="center"/>
    </xf>
    <xf numFmtId="0" fontId="32" fillId="0" borderId="0" xfId="3" quotePrefix="1" applyFont="1" applyAlignment="1">
      <alignment horizontal="left" vertical="center"/>
    </xf>
    <xf numFmtId="0" fontId="10" fillId="0" borderId="37" xfId="3" applyFont="1" applyBorder="1" applyAlignment="1">
      <alignment vertical="center"/>
    </xf>
    <xf numFmtId="0" fontId="19" fillId="0" borderId="37" xfId="3" applyFont="1" applyBorder="1" applyAlignment="1">
      <alignment vertical="center"/>
    </xf>
    <xf numFmtId="0" fontId="19" fillId="0" borderId="38" xfId="3" applyFont="1" applyBorder="1" applyAlignment="1">
      <alignment vertical="center"/>
    </xf>
    <xf numFmtId="167" fontId="10" fillId="0" borderId="69" xfId="1" applyFont="1" applyBorder="1" applyAlignment="1" applyProtection="1">
      <alignment vertical="center"/>
    </xf>
    <xf numFmtId="167" fontId="10" fillId="0" borderId="0" xfId="1" applyFont="1" applyBorder="1" applyAlignment="1" applyProtection="1">
      <alignment vertical="center"/>
    </xf>
    <xf numFmtId="167" fontId="10" fillId="0" borderId="0" xfId="1" applyFont="1" applyBorder="1" applyAlignment="1" applyProtection="1">
      <alignment horizontal="center" vertical="center"/>
    </xf>
    <xf numFmtId="0" fontId="10" fillId="0" borderId="36" xfId="3" applyFont="1" applyBorder="1" applyAlignment="1">
      <alignment horizontal="left" vertical="center"/>
    </xf>
    <xf numFmtId="0" fontId="10" fillId="0" borderId="38" xfId="3" applyFont="1" applyBorder="1" applyAlignment="1">
      <alignment horizontal="center" vertical="center"/>
    </xf>
    <xf numFmtId="0" fontId="37" fillId="0" borderId="0" xfId="3" applyFont="1" applyAlignment="1">
      <alignment vertical="center"/>
    </xf>
    <xf numFmtId="169" fontId="19" fillId="0" borderId="0" xfId="3" applyNumberFormat="1" applyFont="1" applyAlignment="1">
      <alignment vertical="center"/>
    </xf>
    <xf numFmtId="0" fontId="17" fillId="0" borderId="0" xfId="3" applyFont="1" applyAlignment="1">
      <alignment horizontal="left" vertical="top"/>
    </xf>
    <xf numFmtId="0" fontId="38" fillId="0" borderId="0" xfId="3" applyFont="1" applyAlignment="1">
      <alignment horizontal="left" vertical="center"/>
    </xf>
    <xf numFmtId="0" fontId="10" fillId="0" borderId="37" xfId="3" applyFont="1" applyBorder="1" applyAlignment="1">
      <alignment vertical="center" wrapText="1"/>
    </xf>
    <xf numFmtId="0" fontId="38" fillId="0" borderId="20" xfId="3" applyFont="1" applyBorder="1" applyAlignment="1">
      <alignment vertical="center"/>
    </xf>
    <xf numFmtId="0" fontId="10" fillId="0" borderId="29" xfId="3" quotePrefix="1" applyFont="1" applyBorder="1" applyAlignment="1">
      <alignment horizontal="right" vertical="center"/>
    </xf>
    <xf numFmtId="0" fontId="17" fillId="0" borderId="0" xfId="3" quotePrefix="1" applyFont="1" applyAlignment="1" applyProtection="1">
      <alignment horizontal="left" vertical="center"/>
      <protection locked="0"/>
    </xf>
    <xf numFmtId="0" fontId="10" fillId="2" borderId="87" xfId="4" applyFont="1" applyFill="1" applyBorder="1" applyAlignment="1">
      <alignment vertical="center"/>
    </xf>
    <xf numFmtId="0" fontId="10" fillId="0" borderId="0" xfId="4" applyFont="1" applyAlignment="1">
      <alignment vertical="center"/>
    </xf>
    <xf numFmtId="0" fontId="17" fillId="0" borderId="0" xfId="3" quotePrefix="1" applyFont="1" applyAlignment="1" applyProtection="1">
      <alignment horizontal="center" vertical="center"/>
      <protection locked="0"/>
    </xf>
    <xf numFmtId="0" fontId="10" fillId="0" borderId="0" xfId="4" applyFont="1" applyAlignment="1">
      <alignment horizontal="right" vertical="center"/>
    </xf>
    <xf numFmtId="4" fontId="17" fillId="0" borderId="0" xfId="4" applyNumberFormat="1" applyFont="1" applyAlignment="1">
      <alignment horizontal="center" vertical="center"/>
    </xf>
    <xf numFmtId="0" fontId="10" fillId="0" borderId="69" xfId="3" quotePrefix="1" applyFont="1" applyBorder="1" applyAlignment="1">
      <alignment horizontal="left" vertical="center"/>
    </xf>
    <xf numFmtId="175" fontId="10" fillId="0" borderId="70" xfId="3" applyNumberFormat="1" applyFont="1" applyBorder="1" applyAlignment="1">
      <alignment horizontal="center" vertical="center"/>
    </xf>
    <xf numFmtId="175" fontId="10" fillId="0" borderId="69" xfId="3" applyNumberFormat="1" applyFont="1" applyBorder="1" applyAlignment="1">
      <alignment horizontal="center" vertical="center"/>
    </xf>
    <xf numFmtId="175" fontId="10" fillId="0" borderId="68" xfId="3" applyNumberFormat="1" applyFont="1" applyBorder="1" applyAlignment="1">
      <alignment horizontal="center" vertical="center"/>
    </xf>
    <xf numFmtId="0" fontId="32" fillId="2" borderId="3" xfId="3" applyFont="1" applyFill="1" applyBorder="1" applyAlignment="1">
      <alignment vertical="center"/>
    </xf>
    <xf numFmtId="0" fontId="10" fillId="0" borderId="87" xfId="3" applyFont="1" applyBorder="1" applyAlignment="1">
      <alignment vertical="center"/>
    </xf>
    <xf numFmtId="0" fontId="10" fillId="0" borderId="3" xfId="3" applyFont="1" applyBorder="1" applyAlignment="1">
      <alignment vertical="center"/>
    </xf>
    <xf numFmtId="171" fontId="10" fillId="0" borderId="0" xfId="3" quotePrefix="1" applyNumberFormat="1" applyFont="1" applyAlignment="1">
      <alignment horizontal="center" vertical="center"/>
    </xf>
    <xf numFmtId="2" fontId="10" fillId="0" borderId="29" xfId="3" applyNumberFormat="1" applyFont="1" applyBorder="1" applyAlignment="1">
      <alignment horizontal="center" vertical="center"/>
    </xf>
    <xf numFmtId="168" fontId="10" fillId="0" borderId="0" xfId="3" quotePrefix="1" applyNumberFormat="1" applyFont="1" applyAlignment="1">
      <alignment horizontal="center" vertical="center"/>
    </xf>
    <xf numFmtId="1" fontId="10" fillId="0" borderId="0" xfId="3" applyNumberFormat="1" applyFont="1" applyAlignment="1">
      <alignment horizontal="center" vertical="center"/>
    </xf>
    <xf numFmtId="0" fontId="22" fillId="0" borderId="0" xfId="3" applyFont="1" applyAlignment="1">
      <alignment horizontal="left" vertical="center"/>
    </xf>
    <xf numFmtId="2" fontId="22" fillId="0" borderId="0" xfId="3" applyNumberFormat="1" applyFont="1" applyAlignment="1">
      <alignment horizontal="left" vertical="center"/>
    </xf>
    <xf numFmtId="2" fontId="22" fillId="0" borderId="0" xfId="3" applyNumberFormat="1" applyFont="1" applyAlignment="1">
      <alignment horizontal="center" vertical="center"/>
    </xf>
    <xf numFmtId="0" fontId="40" fillId="0" borderId="0" xfId="3" applyFont="1" applyAlignment="1">
      <alignment horizontal="left" vertical="center"/>
    </xf>
    <xf numFmtId="0" fontId="22" fillId="0" borderId="0" xfId="3" quotePrefix="1" applyFont="1" applyAlignment="1">
      <alignment horizontal="left" vertical="center"/>
    </xf>
    <xf numFmtId="0" fontId="22" fillId="0" borderId="0" xfId="3" quotePrefix="1" applyFont="1" applyAlignment="1">
      <alignment horizontal="center" vertical="center"/>
    </xf>
    <xf numFmtId="0" fontId="10" fillId="0" borderId="29" xfId="3" applyFont="1" applyBorder="1" applyAlignment="1">
      <alignment vertical="center" textRotation="90"/>
    </xf>
    <xf numFmtId="0" fontId="39" fillId="0" borderId="0" xfId="3" applyFont="1" applyAlignment="1">
      <alignment vertical="center"/>
    </xf>
    <xf numFmtId="0" fontId="22" fillId="0" borderId="0" xfId="3" applyFont="1" applyAlignment="1">
      <alignment horizontal="center" vertical="center"/>
    </xf>
    <xf numFmtId="0" fontId="19" fillId="0" borderId="0" xfId="3" quotePrefix="1" applyFont="1" applyAlignment="1">
      <alignment horizontal="center" vertical="center"/>
    </xf>
    <xf numFmtId="0" fontId="10" fillId="0" borderId="0" xfId="3" quotePrefix="1" applyFont="1" applyAlignment="1">
      <alignment vertical="center"/>
    </xf>
    <xf numFmtId="2" fontId="10" fillId="0" borderId="0" xfId="3" quotePrefix="1" applyNumberFormat="1" applyFont="1" applyAlignment="1">
      <alignment vertical="center"/>
    </xf>
    <xf numFmtId="0" fontId="39" fillId="0" borderId="0" xfId="3" applyFont="1" applyAlignment="1">
      <alignment horizontal="left" vertical="center"/>
    </xf>
    <xf numFmtId="0" fontId="21" fillId="0" borderId="0" xfId="3" applyFont="1" applyAlignment="1">
      <alignment horizontal="center" vertical="center"/>
    </xf>
    <xf numFmtId="3" fontId="17" fillId="0" borderId="0" xfId="3" applyNumberFormat="1" applyFont="1" applyAlignment="1" applyProtection="1">
      <alignment horizontal="center" vertical="center"/>
      <protection locked="0"/>
    </xf>
    <xf numFmtId="3" fontId="32" fillId="0" borderId="0" xfId="3" applyNumberFormat="1" applyFont="1" applyAlignment="1" applyProtection="1">
      <alignment horizontal="center" vertical="center"/>
      <protection locked="0"/>
    </xf>
    <xf numFmtId="0" fontId="10" fillId="0" borderId="29" xfId="3" quotePrefix="1" applyFont="1" applyBorder="1" applyAlignment="1" applyProtection="1">
      <alignment horizontal="left" vertical="center"/>
      <protection locked="0"/>
    </xf>
    <xf numFmtId="0" fontId="10" fillId="0" borderId="20" xfId="3" applyFont="1" applyBorder="1" applyAlignment="1" applyProtection="1">
      <alignment horizontal="left" vertical="center"/>
      <protection locked="0"/>
    </xf>
    <xf numFmtId="3" fontId="19" fillId="0" borderId="0" xfId="3" applyNumberFormat="1" applyFont="1" applyAlignment="1">
      <alignment horizontal="right" vertical="center"/>
    </xf>
    <xf numFmtId="0" fontId="17" fillId="0" borderId="0" xfId="3" applyFont="1" applyAlignment="1" applyProtection="1">
      <alignment horizontal="center" vertical="center"/>
      <protection locked="0"/>
    </xf>
    <xf numFmtId="3" fontId="21" fillId="0" borderId="0" xfId="3" applyNumberFormat="1" applyFont="1" applyAlignment="1" applyProtection="1">
      <alignment horizontal="center" vertical="center"/>
      <protection locked="0"/>
    </xf>
    <xf numFmtId="0" fontId="21" fillId="0" borderId="0" xfId="3" applyFont="1" applyAlignment="1" applyProtection="1">
      <alignment horizontal="center" vertical="center"/>
      <protection locked="0"/>
    </xf>
    <xf numFmtId="3" fontId="21" fillId="0" borderId="0" xfId="3" applyNumberFormat="1" applyFont="1" applyAlignment="1">
      <alignment horizontal="right" vertical="center"/>
    </xf>
    <xf numFmtId="2" fontId="10" fillId="0" borderId="0" xfId="3" applyNumberFormat="1" applyFont="1" applyAlignment="1" applyProtection="1">
      <alignment horizontal="right" vertical="center"/>
      <protection locked="0"/>
    </xf>
    <xf numFmtId="0" fontId="21" fillId="0" borderId="0" xfId="3" applyFont="1" applyAlignment="1" applyProtection="1">
      <alignment horizontal="left" vertical="center"/>
      <protection locked="0"/>
    </xf>
    <xf numFmtId="0" fontId="13" fillId="0" borderId="29" xfId="3" applyFont="1" applyBorder="1" applyAlignment="1" applyProtection="1">
      <alignment vertical="center"/>
      <protection locked="0"/>
    </xf>
    <xf numFmtId="2" fontId="10" fillId="0" borderId="0" xfId="3" applyNumberFormat="1" applyFont="1" applyAlignment="1" applyProtection="1">
      <alignment horizontal="left" vertical="center"/>
      <protection locked="0"/>
    </xf>
    <xf numFmtId="3" fontId="32" fillId="0" borderId="0" xfId="3" applyNumberFormat="1" applyFont="1" applyAlignment="1">
      <alignment vertical="center"/>
    </xf>
    <xf numFmtId="167" fontId="21" fillId="0" borderId="0" xfId="1" quotePrefix="1" applyFont="1" applyFill="1" applyBorder="1" applyAlignment="1" applyProtection="1">
      <alignment horizontal="right" vertical="center"/>
    </xf>
    <xf numFmtId="0" fontId="21" fillId="0" borderId="20" xfId="3" applyFont="1" applyBorder="1" applyAlignment="1">
      <alignment horizontal="left" vertical="center"/>
    </xf>
    <xf numFmtId="0" fontId="13" fillId="0" borderId="0" xfId="3" applyFont="1" applyAlignment="1" applyProtection="1">
      <alignment horizontal="left" vertical="center"/>
      <protection locked="0"/>
    </xf>
    <xf numFmtId="0" fontId="10" fillId="0" borderId="29" xfId="3" quotePrefix="1" applyFont="1" applyBorder="1" applyAlignment="1" applyProtection="1">
      <alignment horizontal="right" vertical="center"/>
      <protection locked="0"/>
    </xf>
    <xf numFmtId="167" fontId="10" fillId="0" borderId="0" xfId="1" applyFont="1" applyFill="1" applyBorder="1" applyAlignment="1" applyProtection="1">
      <alignment horizontal="right" vertical="center"/>
    </xf>
    <xf numFmtId="167" fontId="10" fillId="0" borderId="0" xfId="1" applyFont="1" applyFill="1" applyBorder="1" applyAlignment="1" applyProtection="1">
      <alignment vertical="center"/>
      <protection locked="0"/>
    </xf>
    <xf numFmtId="49" fontId="10" fillId="0" borderId="29" xfId="3" applyNumberFormat="1" applyFont="1" applyBorder="1" applyAlignment="1">
      <alignment horizontal="left" vertical="center"/>
    </xf>
    <xf numFmtId="0" fontId="19" fillId="0" borderId="0" xfId="3" applyFont="1" applyAlignment="1" applyProtection="1">
      <alignment horizontal="right" vertical="center"/>
      <protection locked="0"/>
    </xf>
    <xf numFmtId="3" fontId="19" fillId="0" borderId="0" xfId="3" applyNumberFormat="1" applyFont="1" applyAlignment="1" applyProtection="1">
      <alignment horizontal="right" vertical="center"/>
      <protection locked="0"/>
    </xf>
    <xf numFmtId="3" fontId="32" fillId="0" borderId="0" xfId="3" applyNumberFormat="1" applyFont="1" applyAlignment="1" applyProtection="1">
      <alignment horizontal="right" vertical="center"/>
      <protection locked="0"/>
    </xf>
    <xf numFmtId="167" fontId="17" fillId="0" borderId="0" xfId="1" applyFont="1" applyFill="1" applyBorder="1" applyAlignment="1" applyProtection="1">
      <alignment vertical="center"/>
      <protection locked="0"/>
    </xf>
    <xf numFmtId="167" fontId="10" fillId="0" borderId="0" xfId="1" applyFont="1" applyFill="1" applyBorder="1" applyAlignment="1" applyProtection="1">
      <alignment horizontal="center" vertical="center"/>
      <protection locked="0"/>
    </xf>
    <xf numFmtId="174" fontId="17" fillId="0" borderId="0" xfId="1" applyNumberFormat="1" applyFont="1" applyFill="1" applyBorder="1" applyAlignment="1" applyProtection="1">
      <alignment horizontal="center" vertical="center"/>
      <protection locked="0"/>
    </xf>
    <xf numFmtId="0" fontId="10" fillId="0" borderId="0" xfId="3" quotePrefix="1" applyFont="1" applyAlignment="1" applyProtection="1">
      <alignment vertical="center"/>
      <protection locked="0"/>
    </xf>
    <xf numFmtId="0" fontId="21" fillId="0" borderId="0" xfId="3" applyFont="1" applyAlignment="1" applyProtection="1">
      <alignment vertical="center"/>
      <protection locked="0"/>
    </xf>
    <xf numFmtId="0" fontId="22" fillId="0" borderId="0" xfId="3" applyFont="1" applyAlignment="1">
      <alignment vertical="center"/>
    </xf>
    <xf numFmtId="0" fontId="41" fillId="0" borderId="0" xfId="3" applyFont="1" applyAlignment="1">
      <alignment vertical="center"/>
    </xf>
    <xf numFmtId="0" fontId="42" fillId="0" borderId="65" xfId="3" applyFont="1" applyBorder="1" applyAlignment="1">
      <alignment horizontal="left" vertical="center"/>
    </xf>
    <xf numFmtId="0" fontId="10" fillId="0" borderId="64" xfId="3" applyFont="1" applyBorder="1" applyAlignment="1" applyProtection="1">
      <alignment horizontal="left" vertical="center"/>
      <protection locked="0"/>
    </xf>
    <xf numFmtId="0" fontId="10" fillId="0" borderId="64" xfId="3" applyFont="1" applyBorder="1" applyAlignment="1" applyProtection="1">
      <alignment horizontal="center" vertical="center"/>
      <protection locked="0"/>
    </xf>
    <xf numFmtId="0" fontId="10" fillId="0" borderId="65" xfId="3" applyFont="1" applyBorder="1" applyAlignment="1" applyProtection="1">
      <alignment horizontal="center" vertical="center"/>
      <protection locked="0"/>
    </xf>
    <xf numFmtId="0" fontId="10" fillId="0" borderId="66" xfId="3" applyFont="1" applyBorder="1" applyAlignment="1" applyProtection="1">
      <alignment horizontal="center" vertical="center"/>
      <protection locked="0"/>
    </xf>
    <xf numFmtId="0" fontId="2" fillId="0" borderId="20" xfId="3" applyFont="1" applyBorder="1" applyAlignment="1">
      <alignment horizontal="right" vertical="center"/>
    </xf>
    <xf numFmtId="0" fontId="20" fillId="0" borderId="0" xfId="3" applyFont="1" applyAlignment="1">
      <alignment horizontal="left" vertical="center"/>
    </xf>
    <xf numFmtId="2" fontId="19" fillId="0" borderId="0" xfId="3" applyNumberFormat="1" applyFont="1" applyAlignment="1">
      <alignment vertical="center"/>
    </xf>
    <xf numFmtId="168" fontId="10" fillId="0" borderId="0" xfId="3" quotePrefix="1" applyNumberFormat="1" applyFont="1" applyAlignment="1" applyProtection="1">
      <alignment horizontal="center" vertical="center"/>
      <protection locked="0"/>
    </xf>
    <xf numFmtId="168" fontId="19" fillId="0" borderId="0" xfId="3" applyNumberFormat="1" applyFont="1" applyAlignment="1">
      <alignment vertical="center"/>
    </xf>
    <xf numFmtId="0" fontId="19" fillId="0" borderId="0" xfId="3" applyFont="1" applyAlignment="1" applyProtection="1">
      <alignment horizontal="left" vertical="center"/>
      <protection locked="0"/>
    </xf>
    <xf numFmtId="169" fontId="17" fillId="0" borderId="0" xfId="3" applyNumberFormat="1" applyFont="1" applyAlignment="1">
      <alignment horizontal="left" vertical="center"/>
    </xf>
    <xf numFmtId="169" fontId="17" fillId="0" borderId="0" xfId="3" applyNumberFormat="1" applyFont="1" applyAlignment="1">
      <alignment horizontal="right" vertical="center"/>
    </xf>
    <xf numFmtId="2" fontId="10" fillId="0" borderId="29" xfId="3" applyNumberFormat="1" applyFont="1" applyBorder="1" applyAlignment="1">
      <alignment horizontal="left"/>
    </xf>
    <xf numFmtId="2" fontId="2" fillId="0" borderId="0" xfId="3" applyNumberFormat="1" applyFont="1" applyAlignment="1">
      <alignment horizontal="center"/>
    </xf>
    <xf numFmtId="171" fontId="23" fillId="0" borderId="0" xfId="3" quotePrefix="1" applyNumberFormat="1" applyFont="1" applyAlignment="1">
      <alignment horizontal="center"/>
    </xf>
    <xf numFmtId="169" fontId="10" fillId="0" borderId="0" xfId="3" applyNumberFormat="1" applyFont="1" applyAlignment="1">
      <alignment vertical="center"/>
    </xf>
    <xf numFmtId="0" fontId="43" fillId="0" borderId="29" xfId="3" quotePrefix="1" applyFont="1" applyBorder="1" applyAlignment="1">
      <alignment horizontal="left" vertical="center"/>
    </xf>
    <xf numFmtId="0" fontId="2" fillId="0" borderId="0" xfId="3" applyFont="1" applyAlignment="1">
      <alignment horizontal="left" vertical="center"/>
    </xf>
    <xf numFmtId="0" fontId="38" fillId="6" borderId="36" xfId="3" applyFont="1" applyFill="1" applyBorder="1" applyAlignment="1">
      <alignment horizontal="left" vertical="center"/>
    </xf>
    <xf numFmtId="0" fontId="10" fillId="6" borderId="0" xfId="3" applyFont="1" applyFill="1" applyAlignment="1">
      <alignment horizontal="left" vertical="center"/>
    </xf>
    <xf numFmtId="0" fontId="44" fillId="2" borderId="87" xfId="3" applyFont="1" applyFill="1" applyBorder="1" applyAlignment="1">
      <alignment horizontal="center" vertical="center" wrapText="1"/>
    </xf>
    <xf numFmtId="0" fontId="45" fillId="0" borderId="103" xfId="3" applyFont="1" applyBorder="1" applyAlignment="1">
      <alignment horizontal="center" vertical="center"/>
    </xf>
    <xf numFmtId="0" fontId="45" fillId="0" borderId="85" xfId="3" applyFont="1" applyBorder="1" applyAlignment="1">
      <alignment horizontal="center" vertical="center"/>
    </xf>
    <xf numFmtId="0" fontId="45" fillId="0" borderId="92" xfId="3" applyFont="1" applyBorder="1" applyAlignment="1">
      <alignment horizontal="center" vertical="center"/>
    </xf>
    <xf numFmtId="0" fontId="47" fillId="0" borderId="92" xfId="3" applyFont="1" applyBorder="1" applyAlignment="1">
      <alignment horizontal="center" vertical="center"/>
    </xf>
    <xf numFmtId="0" fontId="45" fillId="0" borderId="91" xfId="3" applyFont="1" applyBorder="1" applyAlignment="1">
      <alignment horizontal="center" vertical="center"/>
    </xf>
    <xf numFmtId="168" fontId="10" fillId="0" borderId="0" xfId="3" applyNumberFormat="1" applyFont="1" applyAlignment="1">
      <alignment horizontal="right" vertical="center"/>
    </xf>
    <xf numFmtId="0" fontId="44" fillId="0" borderId="92" xfId="3" applyFont="1" applyBorder="1" applyAlignment="1">
      <alignment horizontal="center" vertical="center"/>
    </xf>
    <xf numFmtId="0" fontId="44" fillId="0" borderId="110" xfId="3" applyFont="1" applyBorder="1" applyAlignment="1">
      <alignment horizontal="center" vertical="center"/>
    </xf>
    <xf numFmtId="0" fontId="47" fillId="0" borderId="110" xfId="3" applyFont="1" applyBorder="1" applyAlignment="1">
      <alignment horizontal="center" vertical="center"/>
    </xf>
    <xf numFmtId="0" fontId="45" fillId="0" borderId="110" xfId="3" applyFont="1" applyBorder="1" applyAlignment="1">
      <alignment horizontal="center" vertical="center"/>
    </xf>
    <xf numFmtId="0" fontId="45" fillId="0" borderId="108" xfId="3" applyFont="1" applyBorder="1" applyAlignment="1">
      <alignment horizontal="center" vertical="center"/>
    </xf>
    <xf numFmtId="0" fontId="47" fillId="0" borderId="108" xfId="3" applyFont="1" applyBorder="1" applyAlignment="1">
      <alignment horizontal="center" vertical="center"/>
    </xf>
    <xf numFmtId="0" fontId="44" fillId="0" borderId="108" xfId="3" applyFont="1" applyBorder="1" applyAlignment="1">
      <alignment horizontal="center" vertical="center"/>
    </xf>
    <xf numFmtId="0" fontId="45" fillId="0" borderId="9" xfId="3" applyFont="1" applyBorder="1" applyAlignment="1">
      <alignment horizontal="center" vertical="center"/>
    </xf>
    <xf numFmtId="0" fontId="47" fillId="0" borderId="9" xfId="3" applyFont="1" applyBorder="1" applyAlignment="1">
      <alignment horizontal="center" vertical="center"/>
    </xf>
    <xf numFmtId="0" fontId="47" fillId="0" borderId="126" xfId="3" applyFont="1" applyBorder="1" applyAlignment="1">
      <alignment horizontal="center" vertical="center"/>
    </xf>
    <xf numFmtId="0" fontId="44" fillId="0" borderId="4" xfId="3" applyFont="1" applyBorder="1" applyAlignment="1">
      <alignment horizontal="left" vertical="center"/>
    </xf>
    <xf numFmtId="0" fontId="44" fillId="0" borderId="13" xfId="3" applyFont="1" applyBorder="1" applyAlignment="1">
      <alignment horizontal="left" vertical="center"/>
    </xf>
    <xf numFmtId="0" fontId="44" fillId="0" borderId="0" xfId="3" applyFont="1" applyAlignment="1">
      <alignment horizontal="left" vertical="center"/>
    </xf>
    <xf numFmtId="0" fontId="10" fillId="0" borderId="21" xfId="3" applyFont="1" applyBorder="1" applyAlignment="1">
      <alignment horizontal="center" vertical="center"/>
    </xf>
    <xf numFmtId="0" fontId="44" fillId="0" borderId="20" xfId="3" applyFont="1" applyBorder="1" applyAlignment="1">
      <alignment horizontal="left" vertical="center"/>
    </xf>
    <xf numFmtId="0" fontId="44" fillId="0" borderId="20" xfId="3" applyFont="1" applyBorder="1" applyAlignment="1">
      <alignment horizontal="center" vertical="center"/>
    </xf>
    <xf numFmtId="0" fontId="44" fillId="0" borderId="36" xfId="3" applyFont="1" applyBorder="1" applyAlignment="1">
      <alignment horizontal="left" vertical="center"/>
    </xf>
    <xf numFmtId="0" fontId="44" fillId="0" borderId="37" xfId="3" applyFont="1" applyBorder="1" applyAlignment="1">
      <alignment horizontal="left" vertical="center"/>
    </xf>
    <xf numFmtId="0" fontId="35" fillId="0" borderId="0" xfId="3" applyFont="1" applyAlignment="1">
      <alignment horizontal="left" vertical="center"/>
    </xf>
    <xf numFmtId="167" fontId="17" fillId="0" borderId="0" xfId="1" applyFont="1" applyFill="1" applyBorder="1" applyAlignment="1" applyProtection="1">
      <alignment vertical="center"/>
    </xf>
    <xf numFmtId="0" fontId="10" fillId="0" borderId="21" xfId="3" applyFont="1" applyBorder="1" applyAlignment="1">
      <alignment horizontal="left" vertical="center"/>
    </xf>
    <xf numFmtId="0" fontId="13" fillId="0" borderId="4" xfId="3" applyFont="1" applyBorder="1" applyAlignment="1">
      <alignment horizontal="left" vertical="center"/>
    </xf>
    <xf numFmtId="0" fontId="10" fillId="0" borderId="13" xfId="3" applyFont="1" applyBorder="1" applyAlignment="1">
      <alignment horizontal="right" vertical="center"/>
    </xf>
    <xf numFmtId="2" fontId="10" fillId="0" borderId="13" xfId="3" applyNumberFormat="1" applyFont="1" applyBorder="1" applyAlignment="1">
      <alignment horizontal="right" vertical="center"/>
    </xf>
    <xf numFmtId="0" fontId="13" fillId="8" borderId="29" xfId="3" applyFont="1" applyFill="1" applyBorder="1" applyAlignment="1">
      <alignment horizontal="left" vertical="center"/>
    </xf>
    <xf numFmtId="0" fontId="10" fillId="8" borderId="0" xfId="3" applyFont="1" applyFill="1" applyAlignment="1">
      <alignment horizontal="center" vertical="center"/>
    </xf>
    <xf numFmtId="0" fontId="10" fillId="8" borderId="13" xfId="3" applyFont="1" applyFill="1" applyBorder="1" applyAlignment="1">
      <alignment horizontal="left" vertical="center"/>
    </xf>
    <xf numFmtId="3" fontId="21" fillId="8" borderId="13" xfId="3" applyNumberFormat="1" applyFont="1" applyFill="1" applyBorder="1" applyAlignment="1">
      <alignment horizontal="center" vertical="center"/>
    </xf>
    <xf numFmtId="0" fontId="21" fillId="8" borderId="13" xfId="3" applyFont="1" applyFill="1" applyBorder="1" applyAlignment="1">
      <alignment horizontal="center" vertical="center"/>
    </xf>
    <xf numFmtId="0" fontId="10" fillId="8" borderId="21" xfId="3" applyFont="1" applyFill="1" applyBorder="1" applyAlignment="1">
      <alignment horizontal="left" vertical="center"/>
    </xf>
    <xf numFmtId="2" fontId="17" fillId="0" borderId="0" xfId="3" applyNumberFormat="1" applyFont="1" applyAlignment="1">
      <alignment horizontal="right" vertical="center"/>
    </xf>
    <xf numFmtId="172" fontId="17" fillId="0" borderId="0" xfId="3" applyNumberFormat="1" applyFont="1" applyAlignment="1" applyProtection="1">
      <alignment horizontal="left" vertical="center"/>
      <protection locked="0"/>
    </xf>
    <xf numFmtId="172" fontId="17" fillId="0" borderId="0" xfId="3" applyNumberFormat="1" applyFont="1" applyAlignment="1">
      <alignment horizontal="left" vertical="center"/>
    </xf>
    <xf numFmtId="0" fontId="10" fillId="0" borderId="64" xfId="3" applyFont="1" applyBorder="1" applyAlignment="1">
      <alignment horizontal="center" vertical="center"/>
    </xf>
    <xf numFmtId="0" fontId="17" fillId="0" borderId="65" xfId="3" applyFont="1" applyBorder="1" applyAlignment="1">
      <alignment horizontal="left" vertical="center"/>
    </xf>
    <xf numFmtId="167" fontId="10" fillId="0" borderId="65" xfId="1" applyFont="1" applyFill="1" applyBorder="1" applyAlignment="1" applyProtection="1">
      <alignment horizontal="right" vertical="center"/>
    </xf>
    <xf numFmtId="0" fontId="13" fillId="0" borderId="70" xfId="3" applyFont="1" applyBorder="1" applyAlignment="1">
      <alignment horizontal="left" vertical="center"/>
    </xf>
    <xf numFmtId="0" fontId="21" fillId="0" borderId="69" xfId="3" applyFont="1" applyBorder="1" applyAlignment="1">
      <alignment vertical="center"/>
    </xf>
    <xf numFmtId="174" fontId="17" fillId="0" borderId="69" xfId="1" applyNumberFormat="1" applyFont="1" applyFill="1" applyBorder="1" applyAlignment="1" applyProtection="1">
      <alignment horizontal="center" vertical="center"/>
    </xf>
    <xf numFmtId="167" fontId="17" fillId="0" borderId="69" xfId="1" applyFont="1" applyFill="1" applyBorder="1" applyAlignment="1" applyProtection="1">
      <alignment vertical="center"/>
    </xf>
    <xf numFmtId="167" fontId="10" fillId="0" borderId="69" xfId="1" applyFont="1" applyFill="1" applyBorder="1" applyAlignment="1" applyProtection="1">
      <alignment horizontal="center" vertical="center"/>
    </xf>
    <xf numFmtId="0" fontId="13" fillId="8" borderId="1" xfId="3" applyFont="1" applyFill="1" applyBorder="1" applyAlignment="1">
      <alignment vertical="center"/>
    </xf>
    <xf numFmtId="0" fontId="10" fillId="8" borderId="2" xfId="3" applyFont="1" applyFill="1" applyBorder="1" applyAlignment="1">
      <alignment vertical="center"/>
    </xf>
    <xf numFmtId="0" fontId="17" fillId="8" borderId="2" xfId="3" applyFont="1" applyFill="1" applyBorder="1" applyAlignment="1">
      <alignment vertical="center"/>
    </xf>
    <xf numFmtId="0" fontId="17" fillId="8" borderId="2" xfId="3" applyFont="1" applyFill="1" applyBorder="1" applyAlignment="1">
      <alignment vertical="top"/>
    </xf>
    <xf numFmtId="0" fontId="17" fillId="8" borderId="3" xfId="3" applyFont="1" applyFill="1" applyBorder="1" applyAlignment="1">
      <alignment vertical="top"/>
    </xf>
    <xf numFmtId="0" fontId="10" fillId="0" borderId="5" xfId="3" applyFont="1" applyBorder="1" applyAlignment="1">
      <alignment horizontal="center" vertical="center"/>
    </xf>
    <xf numFmtId="49" fontId="10" fillId="0" borderId="64" xfId="3" applyNumberFormat="1" applyFont="1" applyBorder="1" applyAlignment="1">
      <alignment horizontal="left" vertical="center"/>
    </xf>
    <xf numFmtId="0" fontId="21" fillId="0" borderId="69" xfId="3" applyFont="1" applyBorder="1" applyAlignment="1">
      <alignment horizontal="left" vertical="center"/>
    </xf>
    <xf numFmtId="167" fontId="10" fillId="0" borderId="69" xfId="1" applyFont="1" applyFill="1" applyBorder="1" applyAlignment="1" applyProtection="1">
      <alignment vertical="center"/>
    </xf>
    <xf numFmtId="169" fontId="17" fillId="0" borderId="0" xfId="3" applyNumberFormat="1" applyFont="1" applyAlignment="1" applyProtection="1">
      <alignment horizontal="left" vertical="center"/>
      <protection locked="0"/>
    </xf>
    <xf numFmtId="49" fontId="13" fillId="0" borderId="70" xfId="3" applyNumberFormat="1" applyFont="1" applyBorder="1" applyAlignment="1">
      <alignment horizontal="left" vertical="center"/>
    </xf>
    <xf numFmtId="0" fontId="17" fillId="0" borderId="69" xfId="3" applyFont="1" applyBorder="1" applyAlignment="1">
      <alignment horizontal="left" vertical="center"/>
    </xf>
    <xf numFmtId="2" fontId="10" fillId="0" borderId="69" xfId="3" applyNumberFormat="1" applyFont="1" applyBorder="1" applyAlignment="1">
      <alignment horizontal="right" vertical="center"/>
    </xf>
    <xf numFmtId="2" fontId="10" fillId="0" borderId="69" xfId="3" applyNumberFormat="1" applyFont="1" applyBorder="1" applyAlignment="1">
      <alignment horizontal="center" vertical="center"/>
    </xf>
    <xf numFmtId="0" fontId="21" fillId="0" borderId="65" xfId="3" applyFont="1" applyBorder="1" applyAlignment="1">
      <alignment horizontal="left" vertical="center"/>
    </xf>
    <xf numFmtId="0" fontId="17" fillId="0" borderId="65" xfId="3" applyFont="1" applyBorder="1" applyAlignment="1">
      <alignment horizontal="center" vertical="center"/>
    </xf>
    <xf numFmtId="49" fontId="13" fillId="0" borderId="29" xfId="3" applyNumberFormat="1" applyFont="1" applyBorder="1" applyAlignment="1">
      <alignment horizontal="left" vertical="center"/>
    </xf>
    <xf numFmtId="49" fontId="13" fillId="0" borderId="69" xfId="3" applyNumberFormat="1" applyFont="1" applyBorder="1" applyAlignment="1">
      <alignment horizontal="left" vertical="center"/>
    </xf>
    <xf numFmtId="0" fontId="3" fillId="0" borderId="0" xfId="3" quotePrefix="1" applyFont="1" applyAlignment="1">
      <alignment horizontal="center" vertical="center"/>
    </xf>
    <xf numFmtId="172" fontId="17" fillId="0" borderId="0" xfId="3" applyNumberFormat="1" applyFont="1" applyAlignment="1">
      <alignment horizontal="center" vertical="center"/>
    </xf>
    <xf numFmtId="0" fontId="10" fillId="0" borderId="59" xfId="3" applyFont="1" applyBorder="1" applyAlignment="1">
      <alignment horizontal="center" vertical="center"/>
    </xf>
    <xf numFmtId="0" fontId="10" fillId="0" borderId="128" xfId="3" applyFont="1" applyBorder="1" applyAlignment="1">
      <alignment horizontal="center" vertical="center"/>
    </xf>
    <xf numFmtId="49" fontId="20" fillId="0" borderId="29" xfId="3" applyNumberFormat="1" applyFont="1" applyBorder="1" applyAlignment="1">
      <alignment horizontal="left" vertical="center"/>
    </xf>
    <xf numFmtId="49" fontId="20" fillId="0" borderId="0" xfId="3" applyNumberFormat="1" applyFont="1" applyAlignment="1">
      <alignment horizontal="left" vertical="center"/>
    </xf>
    <xf numFmtId="169" fontId="3" fillId="0" borderId="0" xfId="3" quotePrefix="1" applyNumberFormat="1" applyFont="1" applyAlignment="1">
      <alignment horizontal="center" vertical="center"/>
    </xf>
    <xf numFmtId="169" fontId="10" fillId="0" borderId="0" xfId="3" applyNumberFormat="1" applyFont="1" applyAlignment="1">
      <alignment horizontal="center" vertical="center"/>
    </xf>
    <xf numFmtId="49" fontId="10" fillId="0" borderId="29" xfId="3" applyNumberFormat="1" applyFont="1" applyBorder="1" applyAlignment="1">
      <alignment horizontal="center" vertical="center"/>
    </xf>
    <xf numFmtId="0" fontId="17" fillId="0" borderId="0" xfId="3" quotePrefix="1" applyFont="1" applyAlignment="1">
      <alignment vertical="center"/>
    </xf>
    <xf numFmtId="49" fontId="10" fillId="0" borderId="29" xfId="3" quotePrefix="1" applyNumberFormat="1" applyFont="1" applyBorder="1" applyAlignment="1">
      <alignment horizontal="center" vertical="center"/>
    </xf>
    <xf numFmtId="49" fontId="10" fillId="0" borderId="29" xfId="3" applyNumberFormat="1" applyFont="1" applyBorder="1" applyAlignment="1">
      <alignment horizontal="right" vertical="center"/>
    </xf>
    <xf numFmtId="49" fontId="10" fillId="0" borderId="0" xfId="3" applyNumberFormat="1" applyFont="1" applyAlignment="1">
      <alignment horizontal="left" vertical="center"/>
    </xf>
    <xf numFmtId="0" fontId="10" fillId="0" borderId="37" xfId="3" quotePrefix="1" applyFont="1" applyBorder="1" applyAlignment="1">
      <alignment horizontal="right" vertical="center"/>
    </xf>
    <xf numFmtId="0" fontId="17" fillId="0" borderId="37" xfId="3" applyFont="1" applyBorder="1" applyAlignment="1">
      <alignment horizontal="left" vertical="center"/>
    </xf>
    <xf numFmtId="49" fontId="10" fillId="0" borderId="0" xfId="3" applyNumberFormat="1" applyFont="1" applyAlignment="1">
      <alignment vertical="center"/>
    </xf>
    <xf numFmtId="167" fontId="17" fillId="0" borderId="0" xfId="1" applyFont="1" applyFill="1" applyBorder="1" applyAlignment="1">
      <alignment vertical="center"/>
    </xf>
    <xf numFmtId="167" fontId="10" fillId="0" borderId="0" xfId="1" applyFont="1" applyFill="1" applyBorder="1" applyAlignment="1">
      <alignment horizontal="center" vertical="center"/>
    </xf>
    <xf numFmtId="0" fontId="19" fillId="0" borderId="0" xfId="3" applyFont="1"/>
    <xf numFmtId="49" fontId="13" fillId="0" borderId="0" xfId="3" applyNumberFormat="1" applyFont="1" applyAlignment="1">
      <alignment horizontal="left" vertical="center"/>
    </xf>
    <xf numFmtId="167" fontId="19" fillId="0" borderId="0" xfId="1" applyFont="1" applyFill="1" applyBorder="1" applyAlignment="1" applyProtection="1">
      <alignment horizontal="left" vertical="center"/>
    </xf>
    <xf numFmtId="176" fontId="17" fillId="0" borderId="0" xfId="3" applyNumberFormat="1" applyFont="1" applyAlignment="1" applyProtection="1">
      <alignment horizontal="left" vertical="center"/>
      <protection locked="0"/>
    </xf>
    <xf numFmtId="176" fontId="17" fillId="0" borderId="0" xfId="3" applyNumberFormat="1" applyFont="1" applyAlignment="1">
      <alignment vertical="center"/>
    </xf>
    <xf numFmtId="0" fontId="19" fillId="0" borderId="20" xfId="3" applyFont="1" applyBorder="1" applyAlignment="1">
      <alignment horizontal="center" vertical="center"/>
    </xf>
    <xf numFmtId="0" fontId="10" fillId="0" borderId="70" xfId="3" quotePrefix="1" applyFont="1" applyBorder="1" applyAlignment="1">
      <alignment horizontal="right" vertical="center"/>
    </xf>
    <xf numFmtId="0" fontId="19" fillId="0" borderId="69" xfId="3" applyFont="1" applyBorder="1" applyAlignment="1">
      <alignment horizontal="left" vertical="center"/>
    </xf>
    <xf numFmtId="0" fontId="19" fillId="0" borderId="69" xfId="3" quotePrefix="1" applyFont="1" applyBorder="1" applyAlignment="1">
      <alignment horizontal="left" vertical="center"/>
    </xf>
    <xf numFmtId="0" fontId="19" fillId="0" borderId="68" xfId="3" applyFont="1" applyBorder="1" applyAlignment="1">
      <alignment horizontal="center" vertical="center"/>
    </xf>
    <xf numFmtId="0" fontId="19" fillId="0" borderId="29" xfId="3" applyFont="1" applyBorder="1" applyAlignment="1">
      <alignment horizontal="left" vertical="center"/>
    </xf>
    <xf numFmtId="49" fontId="10" fillId="0" borderId="70" xfId="3" applyNumberFormat="1" applyFont="1" applyBorder="1" applyAlignment="1">
      <alignment horizontal="left" vertical="center"/>
    </xf>
    <xf numFmtId="0" fontId="19" fillId="0" borderId="69" xfId="3" quotePrefix="1" applyFont="1" applyBorder="1" applyAlignment="1">
      <alignment horizontal="center" vertical="center"/>
    </xf>
    <xf numFmtId="0" fontId="17" fillId="0" borderId="69" xfId="3" quotePrefix="1" applyFont="1" applyBorder="1" applyAlignment="1">
      <alignment horizontal="left" vertical="center"/>
    </xf>
    <xf numFmtId="167" fontId="10" fillId="0" borderId="0" xfId="1" quotePrefix="1" applyFont="1" applyFill="1" applyBorder="1" applyAlignment="1" applyProtection="1">
      <alignment horizontal="left" vertical="center"/>
    </xf>
    <xf numFmtId="176" fontId="17" fillId="0" borderId="0" xfId="3" applyNumberFormat="1" applyFont="1" applyAlignment="1">
      <alignment horizontal="left" vertical="center"/>
    </xf>
    <xf numFmtId="167" fontId="10" fillId="0" borderId="69" xfId="1" quotePrefix="1" applyFont="1" applyFill="1" applyBorder="1" applyAlignment="1" applyProtection="1">
      <alignment horizontal="left" vertical="center"/>
    </xf>
    <xf numFmtId="176" fontId="17" fillId="0" borderId="0" xfId="3" applyNumberFormat="1" applyFont="1" applyAlignment="1" applyProtection="1">
      <alignment vertical="center"/>
      <protection locked="0"/>
    </xf>
    <xf numFmtId="0" fontId="10" fillId="0" borderId="58" xfId="3" applyFont="1" applyBorder="1" applyAlignment="1">
      <alignment horizontal="left" vertical="center"/>
    </xf>
    <xf numFmtId="0" fontId="10" fillId="0" borderId="128" xfId="3" applyFont="1" applyBorder="1" applyAlignment="1">
      <alignment horizontal="left" vertical="center"/>
    </xf>
    <xf numFmtId="49" fontId="10" fillId="0" borderId="59" xfId="3" applyNumberFormat="1" applyFont="1" applyBorder="1" applyAlignment="1">
      <alignment horizontal="center" vertical="center"/>
    </xf>
    <xf numFmtId="0" fontId="19" fillId="0" borderId="59" xfId="3" applyFont="1" applyBorder="1" applyAlignment="1">
      <alignment horizontal="left" vertical="center"/>
    </xf>
    <xf numFmtId="0" fontId="19" fillId="0" borderId="59" xfId="3" applyFont="1" applyBorder="1" applyAlignment="1">
      <alignment horizontal="center" vertical="center"/>
    </xf>
    <xf numFmtId="0" fontId="10" fillId="0" borderId="59" xfId="3" applyFont="1" applyBorder="1" applyAlignment="1">
      <alignment horizontal="left" vertical="center"/>
    </xf>
    <xf numFmtId="49" fontId="10" fillId="0" borderId="58" xfId="3" applyNumberFormat="1" applyFont="1" applyBorder="1" applyAlignment="1">
      <alignment horizontal="center" vertical="center"/>
    </xf>
    <xf numFmtId="0" fontId="17" fillId="0" borderId="59" xfId="3" applyFont="1" applyBorder="1" applyAlignment="1">
      <alignment horizontal="left" vertical="center"/>
    </xf>
    <xf numFmtId="49" fontId="10" fillId="0" borderId="0" xfId="3" applyNumberFormat="1" applyFont="1" applyAlignment="1">
      <alignment horizontal="center" vertical="center"/>
    </xf>
    <xf numFmtId="0" fontId="17" fillId="0" borderId="0" xfId="3" applyFont="1" applyAlignment="1" applyProtection="1">
      <alignment horizontal="center" vertical="top"/>
      <protection locked="0"/>
    </xf>
    <xf numFmtId="0" fontId="17" fillId="0" borderId="0" xfId="3" applyFont="1" applyAlignment="1" applyProtection="1">
      <alignment vertical="top"/>
      <protection locked="0"/>
    </xf>
    <xf numFmtId="0" fontId="10" fillId="0" borderId="0" xfId="3" quotePrefix="1" applyFont="1" applyAlignment="1" applyProtection="1">
      <alignment horizontal="left" vertical="center"/>
      <protection locked="0"/>
    </xf>
    <xf numFmtId="0" fontId="48" fillId="0" borderId="0" xfId="3" applyFont="1" applyAlignment="1">
      <alignment horizontal="left" vertical="center"/>
    </xf>
    <xf numFmtId="49" fontId="10" fillId="0" borderId="29" xfId="3" applyNumberFormat="1" applyFont="1" applyBorder="1" applyAlignment="1" applyProtection="1">
      <alignment horizontal="center" vertical="center"/>
      <protection locked="0"/>
    </xf>
    <xf numFmtId="0" fontId="10" fillId="0" borderId="29" xfId="3" quotePrefix="1" applyFont="1" applyBorder="1" applyAlignment="1" applyProtection="1">
      <alignment horizontal="center" vertical="center"/>
      <protection locked="0"/>
    </xf>
    <xf numFmtId="0" fontId="17" fillId="0" borderId="0" xfId="3" applyFont="1" applyAlignment="1" applyProtection="1">
      <alignment wrapText="1"/>
      <protection locked="0"/>
    </xf>
    <xf numFmtId="168" fontId="10" fillId="0" borderId="0" xfId="3" applyNumberFormat="1" applyFont="1" applyAlignment="1" applyProtection="1">
      <alignment horizontal="right" vertical="center"/>
      <protection locked="0"/>
    </xf>
    <xf numFmtId="49" fontId="10" fillId="0" borderId="37" xfId="3" applyNumberFormat="1" applyFont="1" applyBorder="1" applyAlignment="1">
      <alignment horizontal="center" vertical="center"/>
    </xf>
    <xf numFmtId="0" fontId="19" fillId="0" borderId="37" xfId="3" applyFont="1" applyBorder="1" applyAlignment="1">
      <alignment horizontal="left" vertical="center"/>
    </xf>
    <xf numFmtId="0" fontId="9" fillId="0" borderId="1" xfId="3" applyFont="1" applyBorder="1" applyAlignment="1">
      <alignment vertical="center"/>
    </xf>
    <xf numFmtId="0" fontId="9" fillId="0" borderId="2" xfId="3" applyFont="1" applyBorder="1" applyAlignment="1">
      <alignment vertical="center"/>
    </xf>
    <xf numFmtId="0" fontId="8" fillId="0" borderId="2" xfId="3" applyFont="1" applyBorder="1" applyAlignment="1">
      <alignment vertical="center"/>
    </xf>
    <xf numFmtId="0" fontId="9" fillId="0" borderId="3" xfId="3" applyFont="1" applyBorder="1" applyAlignment="1">
      <alignment vertical="center"/>
    </xf>
    <xf numFmtId="0" fontId="11" fillId="0" borderId="29" xfId="3" applyFont="1" applyBorder="1" applyAlignment="1">
      <alignment vertical="center"/>
    </xf>
    <xf numFmtId="0" fontId="11" fillId="0" borderId="0" xfId="3" applyFont="1" applyAlignment="1">
      <alignment vertical="center"/>
    </xf>
    <xf numFmtId="0" fontId="11" fillId="0" borderId="20" xfId="3" applyFont="1" applyBorder="1" applyAlignment="1">
      <alignment vertical="center"/>
    </xf>
    <xf numFmtId="0" fontId="12" fillId="0" borderId="29" xfId="3" applyFont="1" applyBorder="1" applyAlignment="1">
      <alignment vertical="center"/>
    </xf>
    <xf numFmtId="0" fontId="12" fillId="0" borderId="0" xfId="3" applyFont="1" applyAlignment="1">
      <alignment vertical="center"/>
    </xf>
    <xf numFmtId="0" fontId="12" fillId="0" borderId="0" xfId="3" applyFont="1" applyAlignment="1">
      <alignment vertical="center" wrapText="1"/>
    </xf>
    <xf numFmtId="0" fontId="12" fillId="0" borderId="20" xfId="3" applyFont="1" applyBorder="1" applyAlignment="1">
      <alignment vertical="center"/>
    </xf>
    <xf numFmtId="0" fontId="10" fillId="0" borderId="0" xfId="3" applyFont="1" applyAlignment="1">
      <alignment vertical="top"/>
    </xf>
    <xf numFmtId="0" fontId="10" fillId="0" borderId="20" xfId="3" applyFont="1" applyBorder="1" applyAlignment="1">
      <alignment vertical="top"/>
    </xf>
    <xf numFmtId="0" fontId="17" fillId="0" borderId="20" xfId="3" applyFont="1" applyBorder="1" applyAlignment="1" applyProtection="1">
      <alignment vertical="top"/>
      <protection locked="0"/>
    </xf>
    <xf numFmtId="0" fontId="19" fillId="0" borderId="37" xfId="3" applyFont="1" applyBorder="1"/>
    <xf numFmtId="168" fontId="10" fillId="0" borderId="37" xfId="3" applyNumberFormat="1" applyFont="1" applyBorder="1" applyAlignment="1">
      <alignment horizontal="right" vertical="center"/>
    </xf>
    <xf numFmtId="0" fontId="17" fillId="0" borderId="20" xfId="3" applyFont="1" applyBorder="1" applyAlignment="1">
      <alignment vertical="top"/>
    </xf>
    <xf numFmtId="49" fontId="19" fillId="0" borderId="0" xfId="3" applyNumberFormat="1" applyFont="1" applyAlignment="1">
      <alignment horizontal="center" vertical="center"/>
    </xf>
    <xf numFmtId="0" fontId="17" fillId="0" borderId="20" xfId="3" applyFont="1" applyBorder="1" applyAlignment="1">
      <alignment horizontal="center" vertical="top"/>
    </xf>
    <xf numFmtId="0" fontId="50" fillId="0" borderId="0" xfId="3" quotePrefix="1" applyFont="1" applyAlignment="1">
      <alignment vertical="center"/>
    </xf>
    <xf numFmtId="0" fontId="52" fillId="0" borderId="0" xfId="3" applyFont="1" applyAlignment="1">
      <alignment vertical="center"/>
    </xf>
    <xf numFmtId="0" fontId="53" fillId="0" borderId="0" xfId="3" applyFont="1" applyAlignment="1">
      <alignment horizontal="right" vertical="center"/>
    </xf>
    <xf numFmtId="0" fontId="10" fillId="0" borderId="20" xfId="3" quotePrefix="1" applyFont="1" applyBorder="1" applyAlignment="1">
      <alignment horizontal="left" vertical="center"/>
    </xf>
    <xf numFmtId="0" fontId="53" fillId="0" borderId="0" xfId="3" applyFont="1" applyAlignment="1">
      <alignment horizontal="center" vertical="center"/>
    </xf>
    <xf numFmtId="0" fontId="13" fillId="0" borderId="20" xfId="3" applyFont="1" applyBorder="1" applyAlignment="1">
      <alignment horizontal="left" vertical="center"/>
    </xf>
    <xf numFmtId="0" fontId="19" fillId="0" borderId="20" xfId="3" applyFont="1" applyBorder="1" applyAlignment="1">
      <alignment horizontal="left" vertical="center"/>
    </xf>
    <xf numFmtId="0" fontId="50" fillId="0" borderId="0" xfId="3" applyFont="1" applyAlignment="1">
      <alignment vertical="center"/>
    </xf>
    <xf numFmtId="0" fontId="50" fillId="0" borderId="36" xfId="3" applyFont="1" applyBorder="1" applyAlignment="1">
      <alignment vertical="center"/>
    </xf>
    <xf numFmtId="0" fontId="19" fillId="0" borderId="38" xfId="3" applyFont="1" applyBorder="1" applyAlignment="1">
      <alignment horizontal="left" vertical="center"/>
    </xf>
    <xf numFmtId="0" fontId="17" fillId="0" borderId="0" xfId="3" applyFont="1" applyAlignment="1">
      <alignment wrapText="1"/>
    </xf>
    <xf numFmtId="0" fontId="1" fillId="0" borderId="0" xfId="3" applyProtection="1">
      <protection locked="0"/>
    </xf>
    <xf numFmtId="0" fontId="10" fillId="0" borderId="0" xfId="3" applyFont="1" applyAlignment="1" applyProtection="1">
      <alignment readingOrder="1"/>
      <protection locked="0"/>
    </xf>
    <xf numFmtId="171" fontId="10" fillId="0" borderId="0" xfId="3" applyNumberFormat="1" applyFont="1" applyAlignment="1" applyProtection="1">
      <alignment horizontal="center" vertical="center"/>
      <protection locked="0"/>
    </xf>
    <xf numFmtId="0" fontId="10" fillId="0" borderId="21" xfId="3" applyFont="1" applyBorder="1" applyAlignment="1">
      <alignment horizontal="right" vertical="center"/>
    </xf>
    <xf numFmtId="0" fontId="17" fillId="0" borderId="29" xfId="3" quotePrefix="1" applyFont="1" applyBorder="1" applyAlignment="1">
      <alignment vertical="center"/>
    </xf>
    <xf numFmtId="0" fontId="13" fillId="0" borderId="29" xfId="3" applyFont="1" applyBorder="1" applyAlignment="1">
      <alignment vertical="center"/>
    </xf>
    <xf numFmtId="0" fontId="10" fillId="0" borderId="87" xfId="3" applyFont="1" applyBorder="1" applyAlignment="1">
      <alignment horizontal="center" vertical="center"/>
    </xf>
    <xf numFmtId="0" fontId="17" fillId="0" borderId="13" xfId="3" quotePrefix="1" applyFont="1" applyBorder="1" applyAlignment="1">
      <alignment vertical="center"/>
    </xf>
    <xf numFmtId="4" fontId="17" fillId="0" borderId="13" xfId="3" applyNumberFormat="1" applyFont="1" applyBorder="1" applyAlignment="1">
      <alignment horizontal="center" vertical="center"/>
    </xf>
    <xf numFmtId="0" fontId="49" fillId="0" borderId="115" xfId="3" applyFont="1" applyBorder="1" applyAlignment="1" applyProtection="1">
      <alignment horizontal="center" vertical="center"/>
      <protection locked="0"/>
    </xf>
    <xf numFmtId="0" fontId="49" fillId="0" borderId="0" xfId="3" applyFont="1" applyAlignment="1" applyProtection="1">
      <alignment horizontal="center" vertical="center"/>
      <protection locked="0"/>
    </xf>
    <xf numFmtId="0" fontId="75" fillId="0" borderId="129" xfId="3" applyFont="1" applyBorder="1" applyAlignment="1" applyProtection="1">
      <alignment horizontal="center" vertical="center"/>
      <protection locked="0"/>
    </xf>
    <xf numFmtId="0" fontId="10" fillId="0" borderId="115" xfId="3" applyFont="1" applyBorder="1" applyAlignment="1" applyProtection="1">
      <alignment horizontal="center" vertical="center"/>
      <protection locked="0"/>
    </xf>
    <xf numFmtId="0" fontId="10" fillId="0" borderId="130" xfId="3" applyFont="1" applyBorder="1" applyAlignment="1" applyProtection="1">
      <alignment horizontal="center" vertical="center"/>
      <protection locked="0"/>
    </xf>
    <xf numFmtId="0" fontId="10" fillId="0" borderId="54" xfId="3" applyFont="1" applyBorder="1" applyAlignment="1" applyProtection="1">
      <alignment horizontal="center" vertical="center"/>
      <protection locked="0"/>
    </xf>
    <xf numFmtId="0" fontId="10" fillId="0" borderId="0" xfId="3" applyFont="1" applyAlignment="1" applyProtection="1">
      <alignment horizontal="center" vertical="center"/>
      <protection locked="0"/>
    </xf>
    <xf numFmtId="0" fontId="10" fillId="0" borderId="55" xfId="3" applyFont="1" applyBorder="1" applyAlignment="1" applyProtection="1">
      <alignment horizontal="center" vertical="center"/>
      <protection locked="0"/>
    </xf>
    <xf numFmtId="0" fontId="10" fillId="0" borderId="131" xfId="3" applyFont="1" applyBorder="1" applyAlignment="1" applyProtection="1">
      <alignment horizontal="center" vertical="center"/>
      <protection locked="0"/>
    </xf>
    <xf numFmtId="0" fontId="10" fillId="0" borderId="59" xfId="3" applyFont="1" applyBorder="1" applyAlignment="1" applyProtection="1">
      <alignment horizontal="center" vertical="center"/>
      <protection locked="0"/>
    </xf>
    <xf numFmtId="0" fontId="10" fillId="0" borderId="132" xfId="3" applyFont="1" applyBorder="1" applyAlignment="1" applyProtection="1">
      <alignment horizontal="center" vertical="center"/>
      <protection locked="0"/>
    </xf>
    <xf numFmtId="0" fontId="5" fillId="0" borderId="0" xfId="3" applyFont="1" applyAlignment="1">
      <alignment horizontal="center"/>
    </xf>
    <xf numFmtId="0" fontId="6" fillId="0" borderId="0" xfId="3" applyFont="1" applyAlignment="1">
      <alignment horizontal="center"/>
    </xf>
    <xf numFmtId="0" fontId="10" fillId="0" borderId="29" xfId="3" applyFont="1" applyBorder="1" applyAlignment="1" applyProtection="1">
      <alignment horizontal="center" vertical="center"/>
      <protection locked="0"/>
    </xf>
    <xf numFmtId="0" fontId="10" fillId="0" borderId="54" xfId="3" applyFont="1" applyBorder="1" applyAlignment="1" applyProtection="1">
      <alignment vertical="center" wrapText="1"/>
      <protection locked="0"/>
    </xf>
    <xf numFmtId="0" fontId="10" fillId="0" borderId="0" xfId="3" applyFont="1" applyAlignment="1" applyProtection="1">
      <alignment vertical="center" wrapText="1"/>
      <protection locked="0"/>
    </xf>
    <xf numFmtId="0" fontId="10" fillId="0" borderId="55" xfId="3" applyFont="1" applyBorder="1" applyAlignment="1" applyProtection="1">
      <alignment vertical="center" wrapText="1"/>
      <protection locked="0"/>
    </xf>
    <xf numFmtId="0" fontId="10" fillId="0" borderId="54" xfId="3" applyFont="1" applyBorder="1" applyAlignment="1" applyProtection="1">
      <alignment horizontal="center" vertical="center" wrapText="1"/>
      <protection locked="0"/>
    </xf>
    <xf numFmtId="0" fontId="10" fillId="0" borderId="0" xfId="3" applyFont="1" applyAlignment="1" applyProtection="1">
      <alignment horizontal="center" vertical="center" wrapText="1"/>
      <protection locked="0"/>
    </xf>
    <xf numFmtId="0" fontId="10" fillId="0" borderId="55" xfId="3" applyFont="1" applyBorder="1" applyAlignment="1" applyProtection="1">
      <alignment horizontal="center" vertical="center" wrapText="1"/>
      <protection locked="0"/>
    </xf>
    <xf numFmtId="0" fontId="10" fillId="0" borderId="61" xfId="3" applyFont="1" applyBorder="1" applyAlignment="1" applyProtection="1">
      <alignment horizontal="center" vertical="center"/>
      <protection locked="0"/>
    </xf>
    <xf numFmtId="0" fontId="10" fillId="0" borderId="36" xfId="3" applyFont="1" applyBorder="1" applyAlignment="1" applyProtection="1">
      <alignment horizontal="center" vertical="center"/>
      <protection locked="0"/>
    </xf>
    <xf numFmtId="0" fontId="10" fillId="0" borderId="37" xfId="3" applyFont="1" applyBorder="1" applyAlignment="1" applyProtection="1">
      <alignment horizontal="center" vertical="center"/>
      <protection locked="0"/>
    </xf>
    <xf numFmtId="0" fontId="10" fillId="0" borderId="50" xfId="3" applyFont="1" applyBorder="1" applyAlignment="1" applyProtection="1">
      <alignment horizontal="center" vertical="center"/>
      <protection locked="0"/>
    </xf>
    <xf numFmtId="0" fontId="10" fillId="0" borderId="49" xfId="3" applyFont="1" applyBorder="1" applyAlignment="1" applyProtection="1">
      <alignment vertical="center" wrapText="1"/>
      <protection locked="0"/>
    </xf>
    <xf numFmtId="0" fontId="10" fillId="0" borderId="37" xfId="3" applyFont="1" applyBorder="1" applyAlignment="1" applyProtection="1">
      <alignment vertical="center" wrapText="1"/>
      <protection locked="0"/>
    </xf>
    <xf numFmtId="0" fontId="10" fillId="0" borderId="50" xfId="3" applyFont="1" applyBorder="1" applyAlignment="1" applyProtection="1">
      <alignment vertical="center" wrapText="1"/>
      <protection locked="0"/>
    </xf>
    <xf numFmtId="0" fontId="10" fillId="0" borderId="49" xfId="3" applyFont="1" applyBorder="1" applyAlignment="1" applyProtection="1">
      <alignment horizontal="center" vertical="center" wrapText="1"/>
      <protection locked="0"/>
    </xf>
    <xf numFmtId="0" fontId="10" fillId="0" borderId="37" xfId="3" applyFont="1" applyBorder="1" applyAlignment="1" applyProtection="1">
      <alignment horizontal="center" vertical="center" wrapText="1"/>
      <protection locked="0"/>
    </xf>
    <xf numFmtId="0" fontId="10" fillId="0" borderId="50" xfId="3" applyFont="1" applyBorder="1" applyAlignment="1" applyProtection="1">
      <alignment horizontal="center" vertical="center" wrapText="1"/>
      <protection locked="0"/>
    </xf>
    <xf numFmtId="0" fontId="10" fillId="0" borderId="51" xfId="3" applyFont="1" applyBorder="1" applyAlignment="1" applyProtection="1">
      <alignment horizontal="center" vertical="center"/>
      <protection locked="0"/>
    </xf>
    <xf numFmtId="0" fontId="10" fillId="0" borderId="49" xfId="3" applyFont="1" applyBorder="1" applyAlignment="1" applyProtection="1">
      <alignment horizontal="center" vertical="center"/>
      <protection locked="0"/>
    </xf>
    <xf numFmtId="0" fontId="18" fillId="0" borderId="29" xfId="3" applyFont="1" applyBorder="1" applyAlignment="1" applyProtection="1">
      <alignment horizontal="center" vertical="center"/>
      <protection locked="0"/>
    </xf>
    <xf numFmtId="0" fontId="18" fillId="0" borderId="0" xfId="3" applyFont="1" applyAlignment="1" applyProtection="1">
      <alignment horizontal="center" vertical="center"/>
      <protection locked="0"/>
    </xf>
    <xf numFmtId="0" fontId="18" fillId="0" borderId="55" xfId="3" applyFont="1" applyBorder="1" applyAlignment="1" applyProtection="1">
      <alignment horizontal="center" vertical="center"/>
      <protection locked="0"/>
    </xf>
    <xf numFmtId="0" fontId="18" fillId="0" borderId="54" xfId="3" applyFont="1" applyBorder="1" applyAlignment="1" applyProtection="1">
      <alignment vertical="center" wrapText="1"/>
      <protection locked="0"/>
    </xf>
    <xf numFmtId="0" fontId="18" fillId="0" borderId="0" xfId="3" applyFont="1" applyAlignment="1" applyProtection="1">
      <alignment vertical="center" wrapText="1"/>
      <protection locked="0"/>
    </xf>
    <xf numFmtId="0" fontId="18" fillId="0" borderId="55" xfId="3" applyFont="1" applyBorder="1" applyAlignment="1" applyProtection="1">
      <alignment vertical="center" wrapText="1"/>
      <protection locked="0"/>
    </xf>
    <xf numFmtId="0" fontId="18" fillId="0" borderId="54" xfId="3" applyFont="1" applyBorder="1" applyAlignment="1" applyProtection="1">
      <alignment horizontal="center" vertical="center" wrapText="1"/>
      <protection locked="0"/>
    </xf>
    <xf numFmtId="0" fontId="18" fillId="0" borderId="0" xfId="3" applyFont="1" applyAlignment="1" applyProtection="1">
      <alignment horizontal="center" vertical="center" wrapText="1"/>
      <protection locked="0"/>
    </xf>
    <xf numFmtId="0" fontId="18" fillId="0" borderId="55" xfId="3" applyFont="1" applyBorder="1" applyAlignment="1" applyProtection="1">
      <alignment horizontal="center" vertical="center" wrapText="1"/>
      <protection locked="0"/>
    </xf>
    <xf numFmtId="0" fontId="18" fillId="0" borderId="61" xfId="3" applyFont="1" applyBorder="1" applyAlignment="1" applyProtection="1">
      <alignment horizontal="center" vertical="center"/>
      <protection locked="0"/>
    </xf>
    <xf numFmtId="0" fontId="18" fillId="0" borderId="54" xfId="3" applyFont="1" applyBorder="1" applyAlignment="1" applyProtection="1">
      <alignment horizontal="center" vertical="center"/>
      <protection locked="0"/>
    </xf>
    <xf numFmtId="0" fontId="7" fillId="4" borderId="4" xfId="3" applyFont="1" applyFill="1" applyBorder="1" applyAlignment="1">
      <alignment horizontal="center" vertical="center"/>
    </xf>
    <xf numFmtId="0" fontId="7" fillId="4" borderId="13" xfId="3" applyFont="1" applyFill="1" applyBorder="1" applyAlignment="1">
      <alignment horizontal="center" vertical="center"/>
    </xf>
    <xf numFmtId="0" fontId="7" fillId="4" borderId="53" xfId="3" applyFont="1" applyFill="1" applyBorder="1" applyAlignment="1">
      <alignment horizontal="center" vertical="center"/>
    </xf>
    <xf numFmtId="0" fontId="7" fillId="4" borderId="29" xfId="3" applyFont="1" applyFill="1" applyBorder="1" applyAlignment="1">
      <alignment horizontal="center" vertical="center"/>
    </xf>
    <xf numFmtId="0" fontId="7" fillId="4" borderId="0" xfId="3" applyFont="1" applyFill="1" applyAlignment="1">
      <alignment horizontal="center" vertical="center"/>
    </xf>
    <xf numFmtId="0" fontId="7" fillId="4" borderId="56" xfId="3" applyFont="1" applyFill="1" applyBorder="1" applyAlignment="1">
      <alignment horizontal="center" vertical="center"/>
    </xf>
    <xf numFmtId="0" fontId="7" fillId="4" borderId="58" xfId="3" applyFont="1" applyFill="1" applyBorder="1" applyAlignment="1">
      <alignment horizontal="center" vertical="center"/>
    </xf>
    <xf numFmtId="0" fontId="7" fillId="4" borderId="59" xfId="3" applyFont="1" applyFill="1" applyBorder="1" applyAlignment="1">
      <alignment horizontal="center" vertical="center"/>
    </xf>
    <xf numFmtId="0" fontId="7" fillId="4" borderId="60" xfId="3" applyFont="1" applyFill="1" applyBorder="1" applyAlignment="1">
      <alignment horizontal="center" vertical="center"/>
    </xf>
    <xf numFmtId="0" fontId="2" fillId="0" borderId="4" xfId="3" applyFont="1" applyBorder="1" applyAlignment="1" applyProtection="1">
      <alignment horizontal="center" vertical="center"/>
      <protection locked="0"/>
    </xf>
    <xf numFmtId="0" fontId="2" fillId="0" borderId="13" xfId="3" applyFont="1" applyBorder="1" applyAlignment="1" applyProtection="1">
      <alignment horizontal="center" vertical="center"/>
      <protection locked="0"/>
    </xf>
    <xf numFmtId="0" fontId="2" fillId="0" borderId="21" xfId="3" applyFont="1" applyBorder="1" applyAlignment="1" applyProtection="1">
      <alignment horizontal="center" vertical="center"/>
      <protection locked="0"/>
    </xf>
    <xf numFmtId="0" fontId="2" fillId="0" borderId="29" xfId="3" applyFont="1" applyBorder="1" applyAlignment="1" applyProtection="1">
      <alignment horizontal="center" vertical="center"/>
      <protection locked="0"/>
    </xf>
    <xf numFmtId="0" fontId="2" fillId="0" borderId="0" xfId="3" applyFont="1" applyAlignment="1" applyProtection="1">
      <alignment horizontal="center" vertical="center"/>
      <protection locked="0"/>
    </xf>
    <xf numFmtId="0" fontId="2" fillId="0" borderId="20" xfId="3" applyFont="1" applyBorder="1" applyAlignment="1" applyProtection="1">
      <alignment horizontal="center" vertical="center"/>
      <protection locked="0"/>
    </xf>
    <xf numFmtId="0" fontId="2" fillId="0" borderId="36" xfId="3" applyFont="1" applyBorder="1" applyAlignment="1" applyProtection="1">
      <alignment horizontal="center" vertical="center"/>
      <protection locked="0"/>
    </xf>
    <xf numFmtId="0" fontId="2" fillId="0" borderId="37" xfId="3" applyFont="1" applyBorder="1" applyAlignment="1" applyProtection="1">
      <alignment horizontal="center" vertical="center"/>
      <protection locked="0"/>
    </xf>
    <xf numFmtId="0" fontId="2" fillId="0" borderId="38" xfId="3" applyFont="1" applyBorder="1" applyAlignment="1" applyProtection="1">
      <alignment horizontal="center" vertical="center"/>
      <protection locked="0"/>
    </xf>
    <xf numFmtId="0" fontId="14" fillId="0" borderId="23" xfId="3" applyFont="1" applyBorder="1" applyAlignment="1" applyProtection="1">
      <alignment vertical="center" wrapText="1"/>
      <protection locked="0"/>
    </xf>
    <xf numFmtId="0" fontId="14" fillId="0" borderId="25" xfId="3" applyFont="1" applyBorder="1" applyAlignment="1" applyProtection="1">
      <alignment vertical="center" wrapText="1"/>
      <protection locked="0"/>
    </xf>
    <xf numFmtId="2" fontId="12" fillId="3" borderId="24" xfId="3" applyNumberFormat="1" applyFont="1" applyFill="1" applyBorder="1" applyAlignment="1">
      <alignment horizontal="right" vertical="center" wrapText="1"/>
    </xf>
    <xf numFmtId="2" fontId="12" fillId="3" borderId="23" xfId="3" applyNumberFormat="1" applyFont="1" applyFill="1" applyBorder="1" applyAlignment="1">
      <alignment horizontal="right" vertical="center" wrapText="1"/>
    </xf>
    <xf numFmtId="0" fontId="12" fillId="3" borderId="23" xfId="3" applyFont="1" applyFill="1" applyBorder="1" applyAlignment="1" applyProtection="1">
      <alignment horizontal="left" vertical="center" wrapText="1"/>
      <protection locked="0"/>
    </xf>
    <xf numFmtId="0" fontId="12" fillId="3" borderId="25" xfId="3" applyFont="1" applyFill="1" applyBorder="1" applyAlignment="1" applyProtection="1">
      <alignment horizontal="left" vertical="center" wrapText="1"/>
      <protection locked="0"/>
    </xf>
    <xf numFmtId="0" fontId="16" fillId="0" borderId="12" xfId="3" applyFont="1" applyBorder="1" applyAlignment="1" applyProtection="1">
      <alignment horizontal="center" vertical="center" wrapText="1"/>
      <protection locked="0"/>
    </xf>
    <xf numFmtId="0" fontId="16" fillId="0" borderId="13" xfId="3" applyFont="1" applyBorder="1" applyAlignment="1" applyProtection="1">
      <alignment horizontal="center" vertical="center" wrapText="1"/>
      <protection locked="0"/>
    </xf>
    <xf numFmtId="0" fontId="16" fillId="0" borderId="14" xfId="3" applyFont="1" applyBorder="1" applyAlignment="1" applyProtection="1">
      <alignment horizontal="center" vertical="center" wrapText="1"/>
      <protection locked="0"/>
    </xf>
    <xf numFmtId="0" fontId="16" fillId="0" borderId="54" xfId="3" applyFont="1" applyBorder="1" applyAlignment="1" applyProtection="1">
      <alignment horizontal="center" vertical="center" wrapText="1"/>
      <protection locked="0"/>
    </xf>
    <xf numFmtId="0" fontId="16" fillId="0" borderId="0" xfId="3" applyFont="1" applyAlignment="1" applyProtection="1">
      <alignment horizontal="center" vertical="center" wrapText="1"/>
      <protection locked="0"/>
    </xf>
    <xf numFmtId="0" fontId="16" fillId="0" borderId="55" xfId="3" applyFont="1" applyBorder="1" applyAlignment="1" applyProtection="1">
      <alignment horizontal="center" vertical="center" wrapText="1"/>
      <protection locked="0"/>
    </xf>
    <xf numFmtId="0" fontId="16" fillId="0" borderId="49" xfId="3" applyFont="1" applyBorder="1" applyAlignment="1" applyProtection="1">
      <alignment horizontal="center" vertical="center" wrapText="1"/>
      <protection locked="0"/>
    </xf>
    <xf numFmtId="0" fontId="16" fillId="0" borderId="37" xfId="3" applyFont="1" applyBorder="1" applyAlignment="1" applyProtection="1">
      <alignment horizontal="center" vertical="center" wrapText="1"/>
      <protection locked="0"/>
    </xf>
    <xf numFmtId="0" fontId="16" fillId="0" borderId="50" xfId="3" applyFont="1" applyBorder="1" applyAlignment="1" applyProtection="1">
      <alignment horizontal="center" vertical="center" wrapText="1"/>
      <protection locked="0"/>
    </xf>
    <xf numFmtId="0" fontId="14" fillId="0" borderId="40" xfId="3" applyFont="1" applyBorder="1" applyAlignment="1" applyProtection="1">
      <alignment vertical="center" wrapText="1"/>
      <protection locked="0"/>
    </xf>
    <xf numFmtId="0" fontId="14" fillId="0" borderId="42" xfId="3" applyFont="1" applyBorder="1" applyAlignment="1" applyProtection="1">
      <alignment vertical="center" wrapText="1"/>
      <protection locked="0"/>
    </xf>
    <xf numFmtId="0" fontId="12" fillId="3" borderId="41" xfId="3" applyFont="1" applyFill="1" applyBorder="1" applyAlignment="1">
      <alignment horizontal="right" vertical="center" wrapText="1"/>
    </xf>
    <xf numFmtId="0" fontId="12" fillId="3" borderId="40" xfId="3" applyFont="1" applyFill="1" applyBorder="1" applyAlignment="1">
      <alignment horizontal="right" vertical="center" wrapText="1"/>
    </xf>
    <xf numFmtId="0" fontId="12" fillId="3" borderId="40" xfId="3" applyFont="1" applyFill="1" applyBorder="1" applyAlignment="1" applyProtection="1">
      <alignment horizontal="left" vertical="center" wrapText="1"/>
      <protection locked="0"/>
    </xf>
    <xf numFmtId="0" fontId="12" fillId="3" borderId="42" xfId="3" applyFont="1" applyFill="1" applyBorder="1" applyAlignment="1" applyProtection="1">
      <alignment horizontal="left" vertical="center" wrapText="1"/>
      <protection locked="0"/>
    </xf>
    <xf numFmtId="0" fontId="10" fillId="8" borderId="12" xfId="3" applyFont="1" applyFill="1" applyBorder="1" applyAlignment="1">
      <alignment horizontal="center" vertical="center"/>
    </xf>
    <xf numFmtId="0" fontId="10" fillId="8" borderId="13" xfId="3" applyFont="1" applyFill="1" applyBorder="1" applyAlignment="1">
      <alignment horizontal="center" vertical="center"/>
    </xf>
    <xf numFmtId="0" fontId="10" fillId="8" borderId="53" xfId="3" applyFont="1" applyFill="1" applyBorder="1" applyAlignment="1">
      <alignment horizontal="center" vertical="center"/>
    </xf>
    <xf numFmtId="0" fontId="10" fillId="8" borderId="44" xfId="3" applyFont="1" applyFill="1" applyBorder="1" applyAlignment="1">
      <alignment horizontal="center" vertical="center"/>
    </xf>
    <xf numFmtId="0" fontId="10" fillId="8" borderId="45" xfId="3" applyFont="1" applyFill="1" applyBorder="1" applyAlignment="1">
      <alignment horizontal="center" vertical="center"/>
    </xf>
    <xf numFmtId="0" fontId="10" fillId="8" borderId="133" xfId="3" applyFont="1" applyFill="1" applyBorder="1" applyAlignment="1">
      <alignment horizontal="center" vertical="center"/>
    </xf>
    <xf numFmtId="0" fontId="10" fillId="8" borderId="136" xfId="3" applyFont="1" applyFill="1" applyBorder="1" applyAlignment="1">
      <alignment horizontal="center" vertical="center"/>
    </xf>
    <xf numFmtId="0" fontId="10" fillId="8" borderId="137" xfId="3" applyFont="1" applyFill="1" applyBorder="1" applyAlignment="1">
      <alignment horizontal="center" vertical="center"/>
    </xf>
    <xf numFmtId="0" fontId="10" fillId="8" borderId="138" xfId="3" applyFont="1" applyFill="1" applyBorder="1" applyAlignment="1">
      <alignment horizontal="center" vertical="center"/>
    </xf>
    <xf numFmtId="0" fontId="10" fillId="8" borderId="49" xfId="3" applyFont="1" applyFill="1" applyBorder="1" applyAlignment="1">
      <alignment horizontal="center" vertical="center"/>
    </xf>
    <xf numFmtId="0" fontId="10" fillId="8" borderId="37" xfId="3" applyFont="1" applyFill="1" applyBorder="1" applyAlignment="1">
      <alignment horizontal="center" vertical="center"/>
    </xf>
    <xf numFmtId="0" fontId="10" fillId="8" borderId="57" xfId="3" applyFont="1" applyFill="1" applyBorder="1" applyAlignment="1">
      <alignment horizontal="center" vertical="center"/>
    </xf>
    <xf numFmtId="0" fontId="14" fillId="0" borderId="31" xfId="3" applyFont="1" applyBorder="1" applyAlignment="1" applyProtection="1">
      <alignment vertical="center" wrapText="1"/>
      <protection locked="0"/>
    </xf>
    <xf numFmtId="0" fontId="14" fillId="0" borderId="33" xfId="3" applyFont="1" applyBorder="1" applyAlignment="1" applyProtection="1">
      <alignment vertical="center" wrapText="1"/>
      <protection locked="0"/>
    </xf>
    <xf numFmtId="2" fontId="12" fillId="3" borderId="32" xfId="3" applyNumberFormat="1" applyFont="1" applyFill="1" applyBorder="1" applyAlignment="1">
      <alignment horizontal="right" vertical="center" wrapText="1"/>
    </xf>
    <xf numFmtId="2" fontId="12" fillId="3" borderId="31" xfId="3" applyNumberFormat="1" applyFont="1" applyFill="1" applyBorder="1" applyAlignment="1">
      <alignment horizontal="right" vertical="center" wrapText="1"/>
    </xf>
    <xf numFmtId="0" fontId="12" fillId="3" borderId="31" xfId="3" applyFont="1" applyFill="1" applyBorder="1" applyAlignment="1" applyProtection="1">
      <alignment horizontal="left" vertical="center" wrapText="1"/>
      <protection locked="0"/>
    </xf>
    <xf numFmtId="0" fontId="12" fillId="3" borderId="33" xfId="3" applyFont="1" applyFill="1" applyBorder="1" applyAlignment="1" applyProtection="1">
      <alignment horizontal="left" vertical="center" wrapText="1"/>
      <protection locked="0"/>
    </xf>
    <xf numFmtId="0" fontId="10" fillId="8" borderId="26" xfId="3" applyFont="1" applyFill="1" applyBorder="1" applyAlignment="1">
      <alignment horizontal="center" vertical="center"/>
    </xf>
    <xf numFmtId="0" fontId="10" fillId="8" borderId="27" xfId="3" applyFont="1" applyFill="1" applyBorder="1" applyAlignment="1">
      <alignment horizontal="center" vertical="center"/>
    </xf>
    <xf numFmtId="0" fontId="14" fillId="0" borderId="39" xfId="3" applyFont="1" applyBorder="1" applyAlignment="1">
      <alignment vertical="center" wrapText="1"/>
    </xf>
    <xf numFmtId="0" fontId="14" fillId="0" borderId="40" xfId="3" applyFont="1" applyBorder="1" applyAlignment="1">
      <alignment vertical="center" wrapText="1"/>
    </xf>
    <xf numFmtId="0" fontId="15" fillId="0" borderId="41" xfId="3" applyFont="1" applyBorder="1" applyAlignment="1">
      <alignment horizontal="center" vertical="center" wrapText="1"/>
    </xf>
    <xf numFmtId="0" fontId="15" fillId="0" borderId="40" xfId="3" applyFont="1" applyBorder="1" applyAlignment="1">
      <alignment horizontal="center" vertical="center" wrapText="1"/>
    </xf>
    <xf numFmtId="0" fontId="16" fillId="0" borderId="41" xfId="3" quotePrefix="1" applyFont="1" applyBorder="1" applyAlignment="1">
      <alignment horizontal="center" vertical="center" wrapText="1"/>
    </xf>
    <xf numFmtId="0" fontId="16" fillId="0" borderId="40" xfId="3" applyFont="1" applyBorder="1" applyAlignment="1">
      <alignment horizontal="center" vertical="center" wrapText="1"/>
    </xf>
    <xf numFmtId="0" fontId="16" fillId="0" borderId="42" xfId="3" applyFont="1" applyBorder="1" applyAlignment="1">
      <alignment horizontal="center" vertical="center" wrapText="1"/>
    </xf>
    <xf numFmtId="0" fontId="10" fillId="8" borderId="47" xfId="3" applyFont="1" applyFill="1" applyBorder="1" applyAlignment="1">
      <alignment horizontal="center" vertical="center"/>
    </xf>
    <xf numFmtId="0" fontId="10" fillId="8" borderId="48" xfId="3" applyFont="1" applyFill="1" applyBorder="1" applyAlignment="1">
      <alignment horizontal="center" vertical="center"/>
    </xf>
    <xf numFmtId="0" fontId="2" fillId="0" borderId="1" xfId="3" applyFont="1" applyBorder="1" applyAlignment="1">
      <alignment horizontal="center" vertical="center"/>
    </xf>
    <xf numFmtId="0" fontId="2" fillId="0" borderId="2" xfId="3" applyFont="1" applyBorder="1" applyAlignment="1">
      <alignment horizontal="center" vertical="center"/>
    </xf>
    <xf numFmtId="0" fontId="2" fillId="0" borderId="3" xfId="3" applyFont="1" applyBorder="1" applyAlignment="1">
      <alignment horizontal="center" vertical="center"/>
    </xf>
    <xf numFmtId="0" fontId="14" fillId="0" borderId="1" xfId="3" applyFont="1" applyBorder="1" applyAlignment="1">
      <alignment vertical="center" wrapText="1"/>
    </xf>
    <xf numFmtId="0" fontId="14" fillId="0" borderId="2" xfId="3" applyFont="1" applyBorder="1" applyAlignment="1">
      <alignment vertical="center" wrapText="1"/>
    </xf>
    <xf numFmtId="0" fontId="15" fillId="0" borderId="15" xfId="3" applyFont="1" applyBorder="1" applyAlignment="1">
      <alignment horizontal="center" vertical="center" wrapText="1"/>
    </xf>
    <xf numFmtId="0" fontId="15" fillId="0" borderId="2" xfId="3" applyFont="1" applyBorder="1" applyAlignment="1">
      <alignment horizontal="center" vertical="center" wrapText="1"/>
    </xf>
    <xf numFmtId="0" fontId="16" fillId="0" borderId="49" xfId="3" applyFont="1" applyBorder="1" applyAlignment="1">
      <alignment horizontal="center" vertical="center" wrapText="1"/>
    </xf>
    <xf numFmtId="0" fontId="16" fillId="0" borderId="37" xfId="3" applyFont="1" applyBorder="1" applyAlignment="1">
      <alignment horizontal="center" vertical="center" wrapText="1"/>
    </xf>
    <xf numFmtId="0" fontId="16" fillId="0" borderId="50" xfId="3" applyFont="1" applyBorder="1" applyAlignment="1">
      <alignment horizontal="center" vertical="center" wrapText="1"/>
    </xf>
    <xf numFmtId="166" fontId="2" fillId="0" borderId="4" xfId="3" applyNumberFormat="1" applyFont="1" applyBorder="1" applyAlignment="1">
      <alignment horizontal="center" vertical="center"/>
    </xf>
    <xf numFmtId="166" fontId="2" fillId="0" borderId="13" xfId="3" applyNumberFormat="1" applyFont="1" applyBorder="1" applyAlignment="1">
      <alignment horizontal="center" vertical="center"/>
    </xf>
    <xf numFmtId="166" fontId="2" fillId="0" borderId="21" xfId="3" applyNumberFormat="1" applyFont="1" applyBorder="1" applyAlignment="1">
      <alignment horizontal="center" vertical="center"/>
    </xf>
    <xf numFmtId="166" fontId="2" fillId="0" borderId="36" xfId="3" applyNumberFormat="1" applyFont="1" applyBorder="1" applyAlignment="1">
      <alignment horizontal="center" vertical="center"/>
    </xf>
    <xf numFmtId="166" fontId="2" fillId="0" borderId="37" xfId="3" applyNumberFormat="1" applyFont="1" applyBorder="1" applyAlignment="1">
      <alignment horizontal="center" vertical="center"/>
    </xf>
    <xf numFmtId="166" fontId="2" fillId="0" borderId="38" xfId="3" applyNumberFormat="1" applyFont="1" applyBorder="1" applyAlignment="1">
      <alignment horizontal="center" vertical="center"/>
    </xf>
    <xf numFmtId="0" fontId="14" fillId="0" borderId="22" xfId="3" applyFont="1" applyBorder="1" applyAlignment="1">
      <alignment vertical="center" wrapText="1"/>
    </xf>
    <xf numFmtId="0" fontId="14" fillId="0" borderId="23" xfId="3" applyFont="1" applyBorder="1" applyAlignment="1">
      <alignment vertical="center" wrapText="1"/>
    </xf>
    <xf numFmtId="0" fontId="15" fillId="0" borderId="24" xfId="3" applyFont="1" applyBorder="1" applyAlignment="1">
      <alignment horizontal="center" vertical="center" wrapText="1"/>
    </xf>
    <xf numFmtId="0" fontId="15" fillId="0" borderId="23" xfId="3" applyFont="1" applyBorder="1" applyAlignment="1">
      <alignment horizontal="center" vertical="center" wrapText="1"/>
    </xf>
    <xf numFmtId="0" fontId="16" fillId="0" borderId="44" xfId="3" quotePrefix="1" applyFont="1" applyBorder="1" applyAlignment="1">
      <alignment horizontal="center" vertical="center" wrapText="1"/>
    </xf>
    <xf numFmtId="0" fontId="16" fillId="0" borderId="45" xfId="3" applyFont="1" applyBorder="1" applyAlignment="1">
      <alignment horizontal="center" vertical="center" wrapText="1"/>
    </xf>
    <xf numFmtId="0" fontId="16" fillId="0" borderId="46" xfId="3" applyFont="1" applyBorder="1" applyAlignment="1">
      <alignment horizontal="center" vertical="center" wrapText="1"/>
    </xf>
    <xf numFmtId="0" fontId="10" fillId="0" borderId="51" xfId="3" applyFont="1" applyBorder="1" applyAlignment="1">
      <alignment horizontal="center" vertical="center"/>
    </xf>
    <xf numFmtId="0" fontId="10" fillId="0" borderId="52" xfId="3" applyFont="1" applyBorder="1" applyAlignment="1">
      <alignment horizontal="center" vertical="center"/>
    </xf>
    <xf numFmtId="0" fontId="14" fillId="0" borderId="39" xfId="3" quotePrefix="1" applyFont="1" applyBorder="1" applyAlignment="1">
      <alignment vertical="center" wrapText="1"/>
    </xf>
    <xf numFmtId="0" fontId="14" fillId="0" borderId="40" xfId="3" quotePrefix="1" applyFont="1" applyBorder="1" applyAlignment="1">
      <alignment vertical="center" wrapText="1"/>
    </xf>
    <xf numFmtId="0" fontId="15" fillId="0" borderId="41" xfId="3" quotePrefix="1" applyFont="1" applyBorder="1" applyAlignment="1">
      <alignment horizontal="center" vertical="center" wrapText="1"/>
    </xf>
    <xf numFmtId="0" fontId="15" fillId="0" borderId="40" xfId="3" quotePrefix="1" applyFont="1" applyBorder="1" applyAlignment="1">
      <alignment horizontal="center" vertical="center" wrapText="1"/>
    </xf>
    <xf numFmtId="4" fontId="16" fillId="0" borderId="41" xfId="3" applyNumberFormat="1" applyFont="1" applyBorder="1" applyAlignment="1">
      <alignment horizontal="center" vertical="center"/>
    </xf>
    <xf numFmtId="4" fontId="16" fillId="0" borderId="40" xfId="3" applyNumberFormat="1" applyFont="1" applyBorder="1" applyAlignment="1">
      <alignment horizontal="center" vertical="center"/>
    </xf>
    <xf numFmtId="4" fontId="16" fillId="0" borderId="42" xfId="3" applyNumberFormat="1" applyFont="1" applyBorder="1" applyAlignment="1">
      <alignment horizontal="center" vertical="center"/>
    </xf>
    <xf numFmtId="166" fontId="2" fillId="0" borderId="4" xfId="3" applyNumberFormat="1" applyFont="1" applyBorder="1" applyAlignment="1">
      <alignment horizontal="center" vertical="center" wrapText="1"/>
    </xf>
    <xf numFmtId="166" fontId="2" fillId="0" borderId="13" xfId="3" applyNumberFormat="1" applyFont="1" applyBorder="1" applyAlignment="1">
      <alignment horizontal="center" vertical="center" wrapText="1"/>
    </xf>
    <xf numFmtId="166" fontId="2" fillId="0" borderId="21" xfId="3" applyNumberFormat="1" applyFont="1" applyBorder="1" applyAlignment="1">
      <alignment horizontal="center" vertical="center" wrapText="1"/>
    </xf>
    <xf numFmtId="166" fontId="2" fillId="0" borderId="36" xfId="3" applyNumberFormat="1" applyFont="1" applyBorder="1" applyAlignment="1">
      <alignment horizontal="center" vertical="center" wrapText="1"/>
    </xf>
    <xf numFmtId="166" fontId="2" fillId="0" borderId="37" xfId="3" applyNumberFormat="1" applyFont="1" applyBorder="1" applyAlignment="1">
      <alignment horizontal="center" vertical="center" wrapText="1"/>
    </xf>
    <xf numFmtId="166" fontId="2" fillId="0" borderId="38" xfId="3" applyNumberFormat="1" applyFont="1" applyBorder="1" applyAlignment="1">
      <alignment horizontal="center" vertical="center" wrapText="1"/>
    </xf>
    <xf numFmtId="0" fontId="16" fillId="0" borderId="44" xfId="3" applyFont="1" applyBorder="1" applyAlignment="1">
      <alignment horizontal="center" vertical="center" wrapText="1"/>
    </xf>
    <xf numFmtId="0" fontId="12" fillId="0" borderId="26" xfId="3" applyFont="1" applyBorder="1" applyAlignment="1">
      <alignment horizontal="center" vertical="center"/>
    </xf>
    <xf numFmtId="0" fontId="12" fillId="0" borderId="27" xfId="3" applyFont="1" applyBorder="1" applyAlignment="1">
      <alignment horizontal="center" vertical="center"/>
    </xf>
    <xf numFmtId="0" fontId="16" fillId="0" borderId="41" xfId="3" applyFont="1" applyBorder="1" applyAlignment="1">
      <alignment horizontal="center" vertical="center" wrapText="1"/>
    </xf>
    <xf numFmtId="0" fontId="12" fillId="0" borderId="47" xfId="3" applyFont="1" applyBorder="1" applyAlignment="1">
      <alignment horizontal="center" vertical="center"/>
    </xf>
    <xf numFmtId="0" fontId="12" fillId="0" borderId="48" xfId="3" applyFont="1" applyBorder="1" applyAlignment="1">
      <alignment horizontal="center" vertical="center"/>
    </xf>
    <xf numFmtId="0" fontId="14" fillId="0" borderId="30" xfId="3" quotePrefix="1" applyFont="1" applyBorder="1" applyAlignment="1">
      <alignment vertical="center" wrapText="1"/>
    </xf>
    <xf numFmtId="0" fontId="14" fillId="0" borderId="31" xfId="3" quotePrefix="1" applyFont="1" applyBorder="1" applyAlignment="1">
      <alignment vertical="center" wrapText="1"/>
    </xf>
    <xf numFmtId="0" fontId="15" fillId="0" borderId="32" xfId="3" quotePrefix="1" applyFont="1" applyBorder="1" applyAlignment="1">
      <alignment horizontal="center" vertical="center" wrapText="1"/>
    </xf>
    <xf numFmtId="0" fontId="15" fillId="0" borderId="31" xfId="3" quotePrefix="1" applyFont="1" applyBorder="1" applyAlignment="1">
      <alignment horizontal="center" vertical="center" wrapText="1"/>
    </xf>
    <xf numFmtId="4" fontId="16" fillId="0" borderId="32" xfId="3" applyNumberFormat="1" applyFont="1" applyBorder="1" applyAlignment="1">
      <alignment horizontal="center" vertical="center" wrapText="1"/>
    </xf>
    <xf numFmtId="4" fontId="16" fillId="0" borderId="31" xfId="3" applyNumberFormat="1" applyFont="1" applyBorder="1" applyAlignment="1">
      <alignment horizontal="center" vertical="center" wrapText="1"/>
    </xf>
    <xf numFmtId="4" fontId="16" fillId="0" borderId="33" xfId="3" applyNumberFormat="1" applyFont="1" applyBorder="1" applyAlignment="1">
      <alignment horizontal="center" vertical="center" wrapText="1"/>
    </xf>
    <xf numFmtId="0" fontId="12" fillId="8" borderId="34" xfId="3" applyFont="1" applyFill="1" applyBorder="1" applyAlignment="1">
      <alignment horizontal="center" vertical="center"/>
    </xf>
    <xf numFmtId="0" fontId="12" fillId="8" borderId="35" xfId="3" applyFont="1" applyFill="1" applyBorder="1" applyAlignment="1">
      <alignment horizontal="center" vertical="center"/>
    </xf>
    <xf numFmtId="0" fontId="14" fillId="0" borderId="30" xfId="3" applyFont="1" applyBorder="1" applyAlignment="1">
      <alignment vertical="center" wrapText="1"/>
    </xf>
    <xf numFmtId="0" fontId="14" fillId="0" borderId="31" xfId="3" applyFont="1" applyBorder="1" applyAlignment="1">
      <alignment vertical="center" wrapText="1"/>
    </xf>
    <xf numFmtId="0" fontId="15" fillId="0" borderId="32" xfId="3" applyFont="1" applyBorder="1" applyAlignment="1">
      <alignment horizontal="center" vertical="center" wrapText="1"/>
    </xf>
    <xf numFmtId="0" fontId="15" fillId="0" borderId="31" xfId="3" applyFont="1" applyBorder="1" applyAlignment="1">
      <alignment horizontal="center" vertical="center" wrapText="1"/>
    </xf>
    <xf numFmtId="0" fontId="16" fillId="0" borderId="32" xfId="3" applyFont="1" applyBorder="1" applyAlignment="1">
      <alignment horizontal="center" vertical="center" wrapText="1"/>
    </xf>
    <xf numFmtId="0" fontId="16" fillId="0" borderId="31" xfId="3" applyFont="1" applyBorder="1" applyAlignment="1">
      <alignment horizontal="center" vertical="center" wrapText="1"/>
    </xf>
    <xf numFmtId="0" fontId="16" fillId="0" borderId="33" xfId="3" applyFont="1" applyBorder="1" applyAlignment="1">
      <alignment horizontal="center" vertical="center" wrapText="1"/>
    </xf>
    <xf numFmtId="0" fontId="10" fillId="8" borderId="34" xfId="3" applyFont="1" applyFill="1" applyBorder="1" applyAlignment="1">
      <alignment horizontal="center" vertical="center"/>
    </xf>
    <xf numFmtId="0" fontId="10" fillId="8" borderId="35" xfId="3" applyFont="1" applyFill="1" applyBorder="1" applyAlignment="1">
      <alignment horizontal="center" vertical="center"/>
    </xf>
    <xf numFmtId="3" fontId="15" fillId="0" borderId="32" xfId="3" applyNumberFormat="1" applyFont="1" applyBorder="1" applyAlignment="1">
      <alignment horizontal="center" vertical="center" wrapText="1"/>
    </xf>
    <xf numFmtId="3" fontId="15" fillId="0" borderId="31" xfId="3" applyNumberFormat="1" applyFont="1" applyBorder="1" applyAlignment="1">
      <alignment horizontal="center" vertical="center" wrapText="1"/>
    </xf>
    <xf numFmtId="0" fontId="12" fillId="0" borderId="34" xfId="3" applyFont="1" applyBorder="1" applyAlignment="1">
      <alignment horizontal="center" vertical="center"/>
    </xf>
    <xf numFmtId="0" fontId="12" fillId="0" borderId="35" xfId="3" applyFont="1" applyBorder="1" applyAlignment="1">
      <alignment horizontal="center" vertical="center"/>
    </xf>
    <xf numFmtId="166" fontId="2" fillId="0" borderId="29" xfId="3" applyNumberFormat="1" applyFont="1" applyBorder="1" applyAlignment="1">
      <alignment horizontal="center" vertical="center" wrapText="1"/>
    </xf>
    <xf numFmtId="166" fontId="2" fillId="0" borderId="0" xfId="3" applyNumberFormat="1" applyFont="1" applyAlignment="1">
      <alignment horizontal="center" vertical="center" wrapText="1"/>
    </xf>
    <xf numFmtId="166" fontId="2" fillId="0" borderId="20" xfId="3" applyNumberFormat="1" applyFont="1" applyBorder="1" applyAlignment="1">
      <alignment horizontal="center" vertical="center" wrapText="1"/>
    </xf>
    <xf numFmtId="4" fontId="15" fillId="0" borderId="24" xfId="3" applyNumberFormat="1" applyFont="1" applyBorder="1" applyAlignment="1">
      <alignment horizontal="center" vertical="center"/>
    </xf>
    <xf numFmtId="4" fontId="15" fillId="0" borderId="23" xfId="3" applyNumberFormat="1" applyFont="1" applyBorder="1" applyAlignment="1">
      <alignment horizontal="center" vertical="center"/>
    </xf>
    <xf numFmtId="4" fontId="16" fillId="0" borderId="24" xfId="3" applyNumberFormat="1" applyFont="1" applyBorder="1" applyAlignment="1">
      <alignment horizontal="center" vertical="center" wrapText="1"/>
    </xf>
    <xf numFmtId="4" fontId="16" fillId="0" borderId="23" xfId="3" applyNumberFormat="1" applyFont="1" applyBorder="1" applyAlignment="1">
      <alignment horizontal="center" vertical="center" wrapText="1"/>
    </xf>
    <xf numFmtId="4" fontId="16" fillId="0" borderId="25" xfId="3" applyNumberFormat="1" applyFont="1" applyBorder="1" applyAlignment="1">
      <alignment horizontal="center" vertical="center" wrapText="1"/>
    </xf>
    <xf numFmtId="0" fontId="12" fillId="8" borderId="47" xfId="3" applyFont="1" applyFill="1" applyBorder="1" applyAlignment="1">
      <alignment horizontal="center" vertical="center"/>
    </xf>
    <xf numFmtId="0" fontId="12" fillId="8" borderId="48" xfId="3" applyFont="1" applyFill="1" applyBorder="1" applyAlignment="1">
      <alignment horizontal="center" vertical="center"/>
    </xf>
    <xf numFmtId="0" fontId="15" fillId="0" borderId="32" xfId="3" applyFont="1" applyBorder="1" applyAlignment="1">
      <alignment horizontal="center" vertical="center"/>
    </xf>
    <xf numFmtId="0" fontId="15" fillId="0" borderId="31" xfId="3" applyFont="1" applyBorder="1" applyAlignment="1">
      <alignment horizontal="center" vertical="center"/>
    </xf>
    <xf numFmtId="0" fontId="16" fillId="0" borderId="32" xfId="3" applyFont="1" applyBorder="1" applyAlignment="1">
      <alignment horizontal="center" vertical="center"/>
    </xf>
    <xf numFmtId="0" fontId="16" fillId="0" borderId="31" xfId="3" applyFont="1" applyBorder="1" applyAlignment="1">
      <alignment horizontal="center" vertical="center"/>
    </xf>
    <xf numFmtId="0" fontId="16" fillId="0" borderId="33" xfId="3" applyFont="1" applyBorder="1" applyAlignment="1">
      <alignment horizontal="center" vertical="center"/>
    </xf>
    <xf numFmtId="1" fontId="15" fillId="0" borderId="41" xfId="3" applyNumberFormat="1" applyFont="1" applyBorder="1" applyAlignment="1">
      <alignment horizontal="center" vertical="center"/>
    </xf>
    <xf numFmtId="1" fontId="15" fillId="0" borderId="40" xfId="3" applyNumberFormat="1" applyFont="1" applyBorder="1" applyAlignment="1">
      <alignment horizontal="center" vertical="center"/>
    </xf>
    <xf numFmtId="1" fontId="16" fillId="0" borderId="41" xfId="3" applyNumberFormat="1" applyFont="1" applyBorder="1" applyAlignment="1">
      <alignment horizontal="center" vertical="center"/>
    </xf>
    <xf numFmtId="1" fontId="16" fillId="0" borderId="40" xfId="3" applyNumberFormat="1" applyFont="1" applyBorder="1" applyAlignment="1">
      <alignment horizontal="center" vertical="center"/>
    </xf>
    <xf numFmtId="1" fontId="16" fillId="0" borderId="42" xfId="3" applyNumberFormat="1" applyFont="1" applyBorder="1" applyAlignment="1">
      <alignment horizontal="center" vertical="center"/>
    </xf>
    <xf numFmtId="0" fontId="18" fillId="0" borderId="32" xfId="3" applyFont="1" applyBorder="1" applyAlignment="1">
      <alignment horizontal="center" vertical="center" wrapText="1"/>
    </xf>
    <xf numFmtId="0" fontId="18" fillId="0" borderId="31" xfId="3" applyFont="1" applyBorder="1" applyAlignment="1">
      <alignment horizontal="center" vertical="center" wrapText="1"/>
    </xf>
    <xf numFmtId="0" fontId="18" fillId="0" borderId="33" xfId="3" applyFont="1" applyBorder="1" applyAlignment="1">
      <alignment horizontal="center" vertical="center" wrapText="1"/>
    </xf>
    <xf numFmtId="0" fontId="12" fillId="8" borderId="26" xfId="3" applyFont="1" applyFill="1" applyBorder="1" applyAlignment="1">
      <alignment horizontal="center" vertical="center"/>
    </xf>
    <xf numFmtId="0" fontId="12" fillId="8" borderId="27" xfId="3" applyFont="1" applyFill="1" applyBorder="1" applyAlignment="1">
      <alignment horizontal="center" vertical="center"/>
    </xf>
    <xf numFmtId="0" fontId="12" fillId="8" borderId="32" xfId="3" applyFont="1" applyFill="1" applyBorder="1" applyAlignment="1">
      <alignment horizontal="center" vertical="center"/>
    </xf>
    <xf numFmtId="0" fontId="12" fillId="8" borderId="31" xfId="3" applyFont="1" applyFill="1" applyBorder="1" applyAlignment="1">
      <alignment horizontal="center" vertical="center"/>
    </xf>
    <xf numFmtId="0" fontId="12" fillId="8" borderId="134" xfId="3" applyFont="1" applyFill="1" applyBorder="1" applyAlignment="1">
      <alignment horizontal="center" vertical="center"/>
    </xf>
    <xf numFmtId="0" fontId="12" fillId="8" borderId="24" xfId="3" applyFont="1" applyFill="1" applyBorder="1" applyAlignment="1">
      <alignment horizontal="center" vertical="center"/>
    </xf>
    <xf numFmtId="0" fontId="12" fillId="8" borderId="23" xfId="3" applyFont="1" applyFill="1" applyBorder="1" applyAlignment="1">
      <alignment horizontal="center" vertical="center"/>
    </xf>
    <xf numFmtId="0" fontId="12" fillId="8" borderId="135" xfId="3" applyFont="1" applyFill="1" applyBorder="1" applyAlignment="1">
      <alignment horizontal="center" vertical="center"/>
    </xf>
    <xf numFmtId="0" fontId="15" fillId="0" borderId="24" xfId="3" applyFont="1" applyBorder="1" applyAlignment="1">
      <alignment horizontal="center" vertical="center"/>
    </xf>
    <xf numFmtId="0" fontId="15" fillId="0" borderId="23" xfId="3" applyFont="1" applyBorder="1" applyAlignment="1">
      <alignment horizontal="center" vertical="center"/>
    </xf>
    <xf numFmtId="0" fontId="15" fillId="0" borderId="25" xfId="3" applyFont="1" applyBorder="1" applyAlignment="1">
      <alignment horizontal="center" vertical="center"/>
    </xf>
    <xf numFmtId="0" fontId="16" fillId="0" borderId="44" xfId="3" applyFont="1" applyBorder="1" applyAlignment="1">
      <alignment horizontal="center" vertical="center"/>
    </xf>
    <xf numFmtId="0" fontId="16" fillId="0" borderId="45" xfId="3" applyFont="1" applyBorder="1" applyAlignment="1">
      <alignment horizontal="center" vertical="center"/>
    </xf>
    <xf numFmtId="0" fontId="16" fillId="0" borderId="46" xfId="3" applyFont="1" applyBorder="1" applyAlignment="1">
      <alignment horizontal="center" vertical="center"/>
    </xf>
    <xf numFmtId="0" fontId="15" fillId="0" borderId="33" xfId="3" applyFont="1" applyBorder="1" applyAlignment="1">
      <alignment horizontal="center" vertical="center"/>
    </xf>
    <xf numFmtId="1" fontId="15" fillId="0" borderId="32" xfId="3" applyNumberFormat="1" applyFont="1" applyBorder="1" applyAlignment="1">
      <alignment horizontal="center" vertical="center"/>
    </xf>
    <xf numFmtId="1" fontId="15" fillId="0" borderId="31" xfId="3" applyNumberFormat="1" applyFont="1" applyBorder="1" applyAlignment="1">
      <alignment horizontal="center" vertical="center"/>
    </xf>
    <xf numFmtId="1" fontId="16" fillId="0" borderId="32" xfId="3" applyNumberFormat="1" applyFont="1" applyBorder="1" applyAlignment="1">
      <alignment horizontal="center" vertical="center"/>
    </xf>
    <xf numFmtId="1" fontId="16" fillId="0" borderId="31" xfId="3" applyNumberFormat="1" applyFont="1" applyBorder="1" applyAlignment="1">
      <alignment horizontal="center" vertical="center"/>
    </xf>
    <xf numFmtId="1" fontId="16" fillId="0" borderId="33" xfId="3" applyNumberFormat="1" applyFont="1" applyBorder="1" applyAlignment="1">
      <alignment horizontal="center" vertical="center"/>
    </xf>
    <xf numFmtId="0" fontId="9" fillId="0" borderId="1" xfId="3" applyFont="1" applyBorder="1" applyAlignment="1">
      <alignment horizontal="center" vertical="center"/>
    </xf>
    <xf numFmtId="0" fontId="9" fillId="0" borderId="2" xfId="3" applyFont="1" applyBorder="1" applyAlignment="1">
      <alignment horizontal="center" vertical="center"/>
    </xf>
    <xf numFmtId="0" fontId="9" fillId="0" borderId="3" xfId="3" applyFont="1" applyBorder="1" applyAlignment="1">
      <alignment horizontal="center" vertical="center"/>
    </xf>
    <xf numFmtId="0" fontId="11" fillId="0" borderId="1" xfId="3" applyFont="1" applyBorder="1" applyAlignment="1">
      <alignment horizontal="center" vertical="center"/>
    </xf>
    <xf numFmtId="0" fontId="11" fillId="0" borderId="2" xfId="3" applyFont="1" applyBorder="1" applyAlignment="1">
      <alignment horizontal="center" vertical="center"/>
    </xf>
    <xf numFmtId="0" fontId="8" fillId="2" borderId="1" xfId="3" applyFont="1" applyFill="1" applyBorder="1" applyAlignment="1">
      <alignment horizontal="center" vertical="center"/>
    </xf>
    <xf numFmtId="0" fontId="8" fillId="2" borderId="2" xfId="3" applyFont="1" applyFill="1" applyBorder="1" applyAlignment="1">
      <alignment horizontal="center" vertical="center"/>
    </xf>
    <xf numFmtId="0" fontId="8" fillId="2" borderId="10" xfId="3" applyFont="1" applyFill="1" applyBorder="1" applyAlignment="1">
      <alignment horizontal="center" vertical="center"/>
    </xf>
    <xf numFmtId="0" fontId="8" fillId="2" borderId="3" xfId="3" applyFont="1" applyFill="1" applyBorder="1" applyAlignment="1">
      <alignment horizontal="center" vertical="center"/>
    </xf>
    <xf numFmtId="0" fontId="12" fillId="2" borderId="1" xfId="3" applyFont="1" applyFill="1" applyBorder="1" applyAlignment="1">
      <alignment horizontal="center" vertical="center"/>
    </xf>
    <xf numFmtId="0" fontId="12" fillId="2" borderId="2" xfId="3" applyFont="1" applyFill="1" applyBorder="1" applyAlignment="1">
      <alignment horizontal="center" vertical="center"/>
    </xf>
    <xf numFmtId="0" fontId="12" fillId="2" borderId="11" xfId="3" applyFont="1" applyFill="1" applyBorder="1" applyAlignment="1">
      <alignment horizontal="center" vertical="center"/>
    </xf>
    <xf numFmtId="0" fontId="12" fillId="2" borderId="12" xfId="3" applyFont="1" applyFill="1" applyBorder="1" applyAlignment="1">
      <alignment horizontal="center" vertical="center"/>
    </xf>
    <xf numFmtId="0" fontId="12" fillId="2" borderId="13" xfId="3" applyFont="1" applyFill="1" applyBorder="1" applyAlignment="1">
      <alignment horizontal="center" vertical="center"/>
    </xf>
    <xf numFmtId="0" fontId="12" fillId="2" borderId="14" xfId="3" applyFont="1" applyFill="1" applyBorder="1" applyAlignment="1">
      <alignment horizontal="center" vertical="center"/>
    </xf>
    <xf numFmtId="0" fontId="12" fillId="2" borderId="15" xfId="3" applyFont="1" applyFill="1" applyBorder="1" applyAlignment="1">
      <alignment horizontal="center" vertical="center"/>
    </xf>
    <xf numFmtId="0" fontId="12" fillId="2" borderId="16" xfId="3" applyFont="1" applyFill="1" applyBorder="1" applyAlignment="1">
      <alignment horizontal="center" vertical="center"/>
    </xf>
    <xf numFmtId="0" fontId="12" fillId="2" borderId="17" xfId="3" applyFont="1" applyFill="1" applyBorder="1" applyAlignment="1">
      <alignment horizontal="center" vertical="center"/>
    </xf>
    <xf numFmtId="4" fontId="15" fillId="0" borderId="32" xfId="3" applyNumberFormat="1" applyFont="1" applyBorder="1" applyAlignment="1">
      <alignment horizontal="center" vertical="center"/>
    </xf>
    <xf numFmtId="4" fontId="15" fillId="0" borderId="31" xfId="3" applyNumberFormat="1" applyFont="1" applyBorder="1" applyAlignment="1">
      <alignment horizontal="center" vertical="center"/>
    </xf>
    <xf numFmtId="4" fontId="16" fillId="0" borderId="32" xfId="3" applyNumberFormat="1" applyFont="1" applyBorder="1" applyAlignment="1">
      <alignment horizontal="center" vertical="center"/>
    </xf>
    <xf numFmtId="4" fontId="16" fillId="0" borderId="31" xfId="3" applyNumberFormat="1" applyFont="1" applyBorder="1" applyAlignment="1">
      <alignment horizontal="center" vertical="center"/>
    </xf>
    <xf numFmtId="4" fontId="16" fillId="0" borderId="33" xfId="3" applyNumberFormat="1" applyFont="1" applyBorder="1" applyAlignment="1">
      <alignment horizontal="center" vertical="center"/>
    </xf>
    <xf numFmtId="0" fontId="15" fillId="0" borderId="41" xfId="3" applyFont="1" applyBorder="1" applyAlignment="1">
      <alignment horizontal="center" vertical="center"/>
    </xf>
    <xf numFmtId="0" fontId="15" fillId="0" borderId="40" xfId="3" applyFont="1" applyBorder="1" applyAlignment="1">
      <alignment horizontal="center" vertical="center"/>
    </xf>
    <xf numFmtId="0" fontId="16" fillId="0" borderId="41" xfId="3" applyFont="1" applyBorder="1" applyAlignment="1">
      <alignment horizontal="center" vertical="center"/>
    </xf>
    <xf numFmtId="0" fontId="16" fillId="0" borderId="40" xfId="3" applyFont="1" applyBorder="1" applyAlignment="1">
      <alignment horizontal="center" vertical="center"/>
    </xf>
    <xf numFmtId="0" fontId="16" fillId="0" borderId="42" xfId="3" applyFont="1" applyBorder="1" applyAlignment="1">
      <alignment horizontal="center" vertical="center"/>
    </xf>
    <xf numFmtId="0" fontId="12" fillId="0" borderId="41" xfId="3" applyFont="1" applyBorder="1" applyAlignment="1">
      <alignment horizontal="left" vertical="center"/>
    </xf>
    <xf numFmtId="0" fontId="12" fillId="0" borderId="40" xfId="3" applyFont="1" applyBorder="1" applyAlignment="1">
      <alignment horizontal="left" vertical="center"/>
    </xf>
    <xf numFmtId="0" fontId="12" fillId="0" borderId="43" xfId="3" applyFont="1" applyBorder="1" applyAlignment="1">
      <alignment horizontal="left" vertical="center"/>
    </xf>
    <xf numFmtId="0" fontId="10" fillId="0" borderId="0" xfId="3" applyFont="1" applyAlignment="1">
      <alignment horizontal="center" vertical="center"/>
    </xf>
    <xf numFmtId="169" fontId="17" fillId="0" borderId="0" xfId="3" applyNumberFormat="1" applyFont="1" applyAlignment="1">
      <alignment horizontal="center" vertical="center"/>
    </xf>
    <xf numFmtId="3" fontId="17" fillId="0" borderId="0" xfId="3" applyNumberFormat="1" applyFont="1" applyAlignment="1">
      <alignment horizontal="center" vertical="center"/>
    </xf>
    <xf numFmtId="4" fontId="17" fillId="0" borderId="0" xfId="3" applyNumberFormat="1" applyFont="1" applyAlignment="1">
      <alignment horizontal="center" vertical="center"/>
    </xf>
    <xf numFmtId="0" fontId="19" fillId="0" borderId="0" xfId="3" applyFont="1" applyAlignment="1">
      <alignment horizontal="right" vertical="center"/>
    </xf>
    <xf numFmtId="0" fontId="19" fillId="0" borderId="0" xfId="3" applyFont="1" applyAlignment="1">
      <alignment horizontal="center" vertical="center"/>
    </xf>
    <xf numFmtId="0" fontId="12" fillId="2" borderId="4" xfId="3" applyFont="1" applyFill="1" applyBorder="1" applyAlignment="1">
      <alignment horizontal="center" vertical="center"/>
    </xf>
    <xf numFmtId="0" fontId="12" fillId="2" borderId="21" xfId="3" applyFont="1" applyFill="1" applyBorder="1" applyAlignment="1">
      <alignment horizontal="center" vertical="center"/>
    </xf>
    <xf numFmtId="0" fontId="12" fillId="2" borderId="4" xfId="3" applyFont="1" applyFill="1" applyBorder="1" applyAlignment="1">
      <alignment horizontal="center" vertical="center" wrapText="1"/>
    </xf>
    <xf numFmtId="0" fontId="2" fillId="5" borderId="1" xfId="3" applyFont="1" applyFill="1" applyBorder="1" applyAlignment="1">
      <alignment horizontal="center" vertical="center"/>
    </xf>
    <xf numFmtId="0" fontId="2" fillId="5" borderId="2" xfId="3" applyFont="1" applyFill="1" applyBorder="1" applyAlignment="1">
      <alignment horizontal="center" vertical="center"/>
    </xf>
    <xf numFmtId="0" fontId="17" fillId="0" borderId="4" xfId="3" quotePrefix="1" applyFont="1" applyBorder="1" applyAlignment="1">
      <alignment horizontal="center" vertical="center"/>
    </xf>
    <xf numFmtId="0" fontId="17" fillId="0" borderId="13" xfId="3" quotePrefix="1" applyFont="1" applyBorder="1" applyAlignment="1">
      <alignment horizontal="center" vertical="center"/>
    </xf>
    <xf numFmtId="0" fontId="74" fillId="0" borderId="29" xfId="3" applyFont="1" applyBorder="1" applyAlignment="1">
      <alignment horizontal="center" vertical="center" wrapText="1"/>
    </xf>
    <xf numFmtId="0" fontId="13" fillId="0" borderId="0" xfId="3" applyFont="1" applyAlignment="1">
      <alignment horizontal="center" vertical="center"/>
    </xf>
    <xf numFmtId="0" fontId="13" fillId="0" borderId="20" xfId="3" applyFont="1" applyBorder="1" applyAlignment="1">
      <alignment horizontal="center" vertical="center"/>
    </xf>
    <xf numFmtId="0" fontId="13" fillId="0" borderId="29" xfId="3" applyFont="1" applyBorder="1" applyAlignment="1">
      <alignment horizontal="center" vertical="center"/>
    </xf>
    <xf numFmtId="0" fontId="13" fillId="0" borderId="64" xfId="3" applyFont="1" applyBorder="1" applyAlignment="1">
      <alignment horizontal="center" vertical="center"/>
    </xf>
    <xf numFmtId="0" fontId="13" fillId="0" borderId="65" xfId="3" applyFont="1" applyBorder="1" applyAlignment="1">
      <alignment horizontal="center" vertical="center"/>
    </xf>
    <xf numFmtId="0" fontId="13" fillId="0" borderId="66" xfId="3" applyFont="1" applyBorder="1" applyAlignment="1">
      <alignment horizontal="center" vertical="center"/>
    </xf>
    <xf numFmtId="167" fontId="21" fillId="0" borderId="69" xfId="1" applyFont="1" applyFill="1" applyBorder="1" applyAlignment="1" applyProtection="1">
      <alignment vertical="center"/>
    </xf>
    <xf numFmtId="1" fontId="17" fillId="0" borderId="0" xfId="3" applyNumberFormat="1" applyFont="1" applyAlignment="1">
      <alignment horizontal="center" vertical="center"/>
    </xf>
    <xf numFmtId="0" fontId="10" fillId="0" borderId="103" xfId="3" applyFont="1" applyBorder="1" applyAlignment="1">
      <alignment horizontal="center" vertical="center"/>
    </xf>
    <xf numFmtId="0" fontId="17" fillId="0" borderId="103" xfId="3" applyFont="1" applyBorder="1" applyAlignment="1">
      <alignment horizontal="left" vertical="center"/>
    </xf>
    <xf numFmtId="0" fontId="10" fillId="0" borderId="92" xfId="3" applyFont="1" applyBorder="1" applyAlignment="1">
      <alignment horizontal="center" vertical="center"/>
    </xf>
    <xf numFmtId="0" fontId="10" fillId="0" borderId="108" xfId="3" applyFont="1" applyBorder="1" applyAlignment="1">
      <alignment horizontal="center" vertical="center"/>
    </xf>
    <xf numFmtId="0" fontId="17" fillId="0" borderId="92" xfId="3" applyFont="1" applyBorder="1" applyAlignment="1">
      <alignment horizontal="left" vertical="center"/>
    </xf>
    <xf numFmtId="0" fontId="17" fillId="0" borderId="108" xfId="3" applyFont="1" applyBorder="1" applyAlignment="1">
      <alignment horizontal="left" vertical="center"/>
    </xf>
    <xf numFmtId="0" fontId="20" fillId="0" borderId="73" xfId="3" applyFont="1" applyBorder="1" applyAlignment="1">
      <alignment horizontal="center" vertical="center"/>
    </xf>
    <xf numFmtId="0" fontId="20" fillId="0" borderId="74" xfId="3" applyFont="1" applyBorder="1" applyAlignment="1">
      <alignment horizontal="center" vertical="center"/>
    </xf>
    <xf numFmtId="171" fontId="35" fillId="0" borderId="125" xfId="3" applyNumberFormat="1" applyFont="1" applyBorder="1" applyAlignment="1">
      <alignment horizontal="center" vertical="center"/>
    </xf>
    <xf numFmtId="171" fontId="35" fillId="0" borderId="8" xfId="3" applyNumberFormat="1" applyFont="1" applyBorder="1" applyAlignment="1">
      <alignment horizontal="center" vertical="center"/>
    </xf>
    <xf numFmtId="171" fontId="35" fillId="0" borderId="126" xfId="3" applyNumberFormat="1" applyFont="1" applyBorder="1" applyAlignment="1">
      <alignment horizontal="center" vertical="center"/>
    </xf>
    <xf numFmtId="1" fontId="35" fillId="0" borderId="74" xfId="3" applyNumberFormat="1" applyFont="1" applyBorder="1" applyAlignment="1">
      <alignment horizontal="center" vertical="center"/>
    </xf>
    <xf numFmtId="0" fontId="35" fillId="0" borderId="74" xfId="3" applyFont="1" applyBorder="1" applyAlignment="1">
      <alignment horizontal="center" vertical="center"/>
    </xf>
    <xf numFmtId="0" fontId="35" fillId="0" borderId="127" xfId="3" applyFont="1" applyBorder="1" applyAlignment="1">
      <alignment horizontal="center" vertical="center"/>
    </xf>
    <xf numFmtId="0" fontId="19" fillId="0" borderId="92" xfId="3" applyFont="1" applyBorder="1" applyAlignment="1">
      <alignment horizontal="center" vertical="center"/>
    </xf>
    <xf numFmtId="0" fontId="19" fillId="0" borderId="108" xfId="3" applyFont="1" applyBorder="1" applyAlignment="1">
      <alignment horizontal="center" vertical="center"/>
    </xf>
    <xf numFmtId="0" fontId="10" fillId="2" borderId="7" xfId="3" applyFont="1" applyFill="1" applyBorder="1" applyAlignment="1">
      <alignment horizontal="center" vertical="center"/>
    </xf>
    <xf numFmtId="0" fontId="10" fillId="2" borderId="8" xfId="3" applyFont="1" applyFill="1" applyBorder="1" applyAlignment="1">
      <alignment horizontal="center" vertical="center"/>
    </xf>
    <xf numFmtId="0" fontId="10" fillId="2" borderId="9" xfId="3" applyFont="1" applyFill="1" applyBorder="1" applyAlignment="1">
      <alignment horizontal="center" vertical="center"/>
    </xf>
    <xf numFmtId="0" fontId="19" fillId="0" borderId="7" xfId="3" applyFont="1" applyBorder="1" applyAlignment="1">
      <alignment horizontal="center" vertical="center"/>
    </xf>
    <xf numFmtId="0" fontId="19" fillId="0" borderId="9" xfId="3" applyFont="1" applyBorder="1" applyAlignment="1">
      <alignment horizontal="center" vertical="center"/>
    </xf>
    <xf numFmtId="0" fontId="34" fillId="0" borderId="13" xfId="3" applyFont="1" applyBorder="1" applyAlignment="1">
      <alignment horizontal="center" vertical="center"/>
    </xf>
    <xf numFmtId="0" fontId="34" fillId="0" borderId="0" xfId="3" applyFont="1" applyAlignment="1">
      <alignment horizontal="center" vertical="center"/>
    </xf>
    <xf numFmtId="0" fontId="10" fillId="2" borderId="89" xfId="3" applyFont="1" applyFill="1" applyBorder="1" applyAlignment="1">
      <alignment horizontal="center" vertical="center"/>
    </xf>
    <xf numFmtId="0" fontId="10" fillId="2" borderId="90" xfId="3" applyFont="1" applyFill="1" applyBorder="1" applyAlignment="1">
      <alignment horizontal="center" vertical="center"/>
    </xf>
    <xf numFmtId="0" fontId="10" fillId="2" borderId="91" xfId="3" applyFont="1" applyFill="1" applyBorder="1" applyAlignment="1">
      <alignment horizontal="center" vertical="center"/>
    </xf>
    <xf numFmtId="1" fontId="20" fillId="2" borderId="119" xfId="3" applyNumberFormat="1" applyFont="1" applyFill="1" applyBorder="1" applyAlignment="1">
      <alignment horizontal="center" vertical="center"/>
    </xf>
    <xf numFmtId="1" fontId="20" fillId="2" borderId="101" xfId="3" applyNumberFormat="1" applyFont="1" applyFill="1" applyBorder="1" applyAlignment="1">
      <alignment horizontal="center" vertical="center"/>
    </xf>
    <xf numFmtId="0" fontId="20" fillId="2" borderId="101" xfId="3" applyFont="1" applyFill="1" applyBorder="1" applyAlignment="1">
      <alignment horizontal="center" vertical="center" wrapText="1"/>
    </xf>
    <xf numFmtId="167" fontId="20" fillId="2" borderId="101" xfId="1" applyFont="1" applyFill="1" applyBorder="1" applyAlignment="1" applyProtection="1">
      <alignment horizontal="center" vertical="center"/>
    </xf>
    <xf numFmtId="0" fontId="10" fillId="9" borderId="101" xfId="3" applyFont="1" applyFill="1" applyBorder="1" applyAlignment="1">
      <alignment horizontal="center" vertical="center"/>
    </xf>
    <xf numFmtId="0" fontId="10" fillId="9" borderId="102" xfId="3" applyFont="1" applyFill="1" applyBorder="1" applyAlignment="1">
      <alignment horizontal="center" vertical="center"/>
    </xf>
    <xf numFmtId="0" fontId="10" fillId="2" borderId="88" xfId="3" applyFont="1" applyFill="1" applyBorder="1" applyAlignment="1">
      <alignment horizontal="center" vertical="center"/>
    </xf>
    <xf numFmtId="0" fontId="10" fillId="2" borderId="5" xfId="3" applyFont="1" applyFill="1" applyBorder="1" applyAlignment="1">
      <alignment horizontal="center" vertical="center"/>
    </xf>
    <xf numFmtId="0" fontId="10" fillId="2" borderId="6" xfId="3" applyFont="1" applyFill="1" applyBorder="1" applyAlignment="1">
      <alignment horizontal="center" vertical="center"/>
    </xf>
    <xf numFmtId="0" fontId="19" fillId="2" borderId="85" xfId="3" applyFont="1" applyFill="1" applyBorder="1" applyAlignment="1">
      <alignment horizontal="center" vertical="center"/>
    </xf>
    <xf numFmtId="0" fontId="19" fillId="2" borderId="104" xfId="3" applyFont="1" applyFill="1" applyBorder="1" applyAlignment="1">
      <alignment horizontal="center" vertical="center"/>
    </xf>
    <xf numFmtId="0" fontId="20" fillId="0" borderId="120" xfId="3" applyFont="1" applyBorder="1" applyAlignment="1">
      <alignment horizontal="center" vertical="center"/>
    </xf>
    <xf numFmtId="0" fontId="20" fillId="0" borderId="121" xfId="3" applyFont="1" applyBorder="1" applyAlignment="1">
      <alignment horizontal="center" vertical="center"/>
    </xf>
    <xf numFmtId="171" fontId="35" fillId="0" borderId="122" xfId="3" applyNumberFormat="1" applyFont="1" applyBorder="1" applyAlignment="1">
      <alignment horizontal="center" vertical="center"/>
    </xf>
    <xf numFmtId="171" fontId="35" fillId="0" borderId="5" xfId="3" applyNumberFormat="1" applyFont="1" applyBorder="1" applyAlignment="1">
      <alignment horizontal="center" vertical="center"/>
    </xf>
    <xf numFmtId="171" fontId="35" fillId="0" borderId="123" xfId="3" applyNumberFormat="1" applyFont="1" applyBorder="1" applyAlignment="1">
      <alignment horizontal="center" vertical="center"/>
    </xf>
    <xf numFmtId="1" fontId="35" fillId="0" borderId="121" xfId="3" applyNumberFormat="1" applyFont="1" applyBorder="1" applyAlignment="1">
      <alignment horizontal="center" vertical="center"/>
    </xf>
    <xf numFmtId="0" fontId="19" fillId="0" borderId="121" xfId="3" applyFont="1" applyBorder="1" applyAlignment="1">
      <alignment horizontal="center" vertical="center"/>
    </xf>
    <xf numFmtId="0" fontId="19" fillId="0" borderId="124" xfId="3" applyFont="1" applyBorder="1" applyAlignment="1">
      <alignment horizontal="center" vertical="center"/>
    </xf>
    <xf numFmtId="0" fontId="32" fillId="0" borderId="88" xfId="3" applyFont="1" applyBorder="1" applyAlignment="1">
      <alignment horizontal="center" vertical="center"/>
    </xf>
    <xf numFmtId="0" fontId="32" fillId="0" borderId="5" xfId="3" applyFont="1" applyBorder="1" applyAlignment="1">
      <alignment horizontal="center" vertical="center"/>
    </xf>
    <xf numFmtId="0" fontId="32" fillId="0" borderId="6" xfId="3" applyFont="1" applyBorder="1" applyAlignment="1">
      <alignment horizontal="center" vertical="center"/>
    </xf>
    <xf numFmtId="0" fontId="19" fillId="0" borderId="105" xfId="3" applyFont="1" applyBorder="1" applyAlignment="1">
      <alignment horizontal="center" vertical="center"/>
    </xf>
    <xf numFmtId="0" fontId="19" fillId="0" borderId="106" xfId="3" applyFont="1" applyBorder="1" applyAlignment="1">
      <alignment horizontal="center" vertical="center"/>
    </xf>
    <xf numFmtId="0" fontId="19" fillId="0" borderId="107" xfId="3" applyFont="1" applyBorder="1" applyAlignment="1">
      <alignment horizontal="center" vertical="center"/>
    </xf>
    <xf numFmtId="0" fontId="19" fillId="0" borderId="111" xfId="3" applyFont="1" applyBorder="1" applyAlignment="1">
      <alignment horizontal="center" vertical="center"/>
    </xf>
    <xf numFmtId="0" fontId="19" fillId="0" borderId="112" xfId="3" applyFont="1" applyBorder="1" applyAlignment="1">
      <alignment horizontal="center" vertical="center"/>
    </xf>
    <xf numFmtId="0" fontId="19" fillId="0" borderId="113" xfId="3" applyFont="1" applyBorder="1" applyAlignment="1">
      <alignment horizontal="center" vertical="center"/>
    </xf>
    <xf numFmtId="0" fontId="19" fillId="0" borderId="116" xfId="3" applyFont="1" applyBorder="1" applyAlignment="1">
      <alignment horizontal="center" vertical="center"/>
    </xf>
    <xf numFmtId="0" fontId="19" fillId="0" borderId="117" xfId="3" applyFont="1" applyBorder="1" applyAlignment="1">
      <alignment horizontal="center" vertical="center"/>
    </xf>
    <xf numFmtId="0" fontId="19" fillId="0" borderId="118" xfId="3" applyFont="1" applyBorder="1" applyAlignment="1">
      <alignment horizontal="center" vertical="center"/>
    </xf>
    <xf numFmtId="0" fontId="32" fillId="0" borderId="89" xfId="3" applyFont="1" applyBorder="1" applyAlignment="1">
      <alignment horizontal="center" vertical="center"/>
    </xf>
    <xf numFmtId="0" fontId="32" fillId="0" borderId="90" xfId="3" applyFont="1" applyBorder="1" applyAlignment="1">
      <alignment horizontal="center" vertical="center"/>
    </xf>
    <xf numFmtId="0" fontId="32" fillId="0" borderId="91" xfId="3" applyFont="1" applyBorder="1" applyAlignment="1">
      <alignment horizontal="center" vertical="center"/>
    </xf>
    <xf numFmtId="0" fontId="32" fillId="0" borderId="7" xfId="3" applyFont="1" applyBorder="1" applyAlignment="1">
      <alignment horizontal="center" vertical="center"/>
    </xf>
    <xf numFmtId="0" fontId="32" fillId="0" borderId="8" xfId="3" applyFont="1" applyBorder="1" applyAlignment="1">
      <alignment horizontal="center" vertical="center"/>
    </xf>
    <xf numFmtId="0" fontId="32" fillId="0" borderId="9" xfId="3" applyFont="1" applyBorder="1" applyAlignment="1">
      <alignment horizontal="center" vertical="center"/>
    </xf>
    <xf numFmtId="0" fontId="19" fillId="0" borderId="110" xfId="3" applyFont="1" applyBorder="1" applyAlignment="1">
      <alignment horizontal="center" vertical="center"/>
    </xf>
    <xf numFmtId="0" fontId="19" fillId="0" borderId="86" xfId="3" applyFont="1" applyBorder="1" applyAlignment="1">
      <alignment horizontal="center" vertical="center"/>
    </xf>
    <xf numFmtId="0" fontId="32" fillId="0" borderId="99" xfId="3" applyFont="1" applyBorder="1" applyAlignment="1">
      <alignment horizontal="center" vertical="center"/>
    </xf>
    <xf numFmtId="0" fontId="32" fillId="0" borderId="115" xfId="3" applyFont="1" applyBorder="1" applyAlignment="1">
      <alignment horizontal="center" vertical="center"/>
    </xf>
    <xf numFmtId="0" fontId="32" fillId="0" borderId="100" xfId="3" applyFont="1" applyBorder="1" applyAlignment="1">
      <alignment horizontal="center" vertical="center"/>
    </xf>
    <xf numFmtId="0" fontId="33" fillId="8" borderId="1" xfId="3" applyFont="1" applyFill="1" applyBorder="1" applyAlignment="1">
      <alignment horizontal="center" vertical="center"/>
    </xf>
    <xf numFmtId="0" fontId="33" fillId="8" borderId="2" xfId="3" applyFont="1" applyFill="1" applyBorder="1" applyAlignment="1">
      <alignment horizontal="center" vertical="center"/>
    </xf>
    <xf numFmtId="0" fontId="33" fillId="8" borderId="3" xfId="3" applyFont="1" applyFill="1" applyBorder="1" applyAlignment="1">
      <alignment horizontal="center" vertical="center"/>
    </xf>
    <xf numFmtId="0" fontId="32" fillId="2" borderId="1" xfId="3" applyFont="1" applyFill="1" applyBorder="1" applyAlignment="1">
      <alignment horizontal="center" vertical="center"/>
    </xf>
    <xf numFmtId="0" fontId="32" fillId="2" borderId="2" xfId="3" applyFont="1" applyFill="1" applyBorder="1" applyAlignment="1">
      <alignment horizontal="center" vertical="center"/>
    </xf>
    <xf numFmtId="0" fontId="32" fillId="2" borderId="3" xfId="3" applyFont="1" applyFill="1" applyBorder="1" applyAlignment="1">
      <alignment horizontal="center" vertical="center"/>
    </xf>
    <xf numFmtId="0" fontId="17" fillId="0" borderId="36" xfId="3" applyFont="1" applyBorder="1" applyAlignment="1">
      <alignment horizontal="left"/>
    </xf>
    <xf numFmtId="0" fontId="17" fillId="0" borderId="37" xfId="3" applyFont="1" applyBorder="1" applyAlignment="1">
      <alignment horizontal="left"/>
    </xf>
    <xf numFmtId="0" fontId="17" fillId="0" borderId="38" xfId="3" applyFont="1" applyBorder="1" applyAlignment="1">
      <alignment horizontal="left"/>
    </xf>
    <xf numFmtId="0" fontId="10" fillId="8" borderId="1" xfId="3" quotePrefix="1" applyFont="1" applyFill="1" applyBorder="1" applyAlignment="1">
      <alignment horizontal="center" vertical="center"/>
    </xf>
    <xf numFmtId="0" fontId="10" fillId="8" borderId="2" xfId="3" quotePrefix="1" applyFont="1" applyFill="1" applyBorder="1" applyAlignment="1">
      <alignment horizontal="center" vertical="center"/>
    </xf>
    <xf numFmtId="0" fontId="10" fillId="8" borderId="3" xfId="3" quotePrefix="1" applyFont="1" applyFill="1" applyBorder="1" applyAlignment="1">
      <alignment horizontal="center" vertical="center"/>
    </xf>
    <xf numFmtId="4" fontId="17" fillId="0" borderId="89" xfId="3" quotePrefix="1" applyNumberFormat="1" applyFont="1" applyBorder="1" applyAlignment="1">
      <alignment horizontal="center" vertical="center"/>
    </xf>
    <xf numFmtId="4" fontId="17" fillId="0" borderId="91" xfId="3" quotePrefix="1" applyNumberFormat="1" applyFont="1" applyBorder="1" applyAlignment="1">
      <alignment horizontal="center" vertical="center"/>
    </xf>
    <xf numFmtId="0" fontId="10" fillId="2" borderId="92" xfId="3" applyFont="1" applyFill="1" applyBorder="1" applyAlignment="1">
      <alignment horizontal="right" vertical="center"/>
    </xf>
    <xf numFmtId="169" fontId="17" fillId="0" borderId="89" xfId="3" quotePrefix="1" applyNumberFormat="1" applyFont="1" applyBorder="1" applyAlignment="1">
      <alignment horizontal="center" vertical="center"/>
    </xf>
    <xf numFmtId="169" fontId="17" fillId="0" borderId="91" xfId="3" quotePrefix="1" applyNumberFormat="1" applyFont="1" applyBorder="1" applyAlignment="1">
      <alignment horizontal="center" vertical="center"/>
    </xf>
    <xf numFmtId="0" fontId="2" fillId="5" borderId="3" xfId="3" applyFont="1" applyFill="1" applyBorder="1" applyAlignment="1">
      <alignment horizontal="center" vertical="center"/>
    </xf>
    <xf numFmtId="0" fontId="17" fillId="0" borderId="0" xfId="3" applyFont="1" applyAlignment="1">
      <alignment horizontal="left" vertical="center"/>
    </xf>
    <xf numFmtId="3" fontId="17" fillId="0" borderId="1" xfId="3" applyNumberFormat="1" applyFont="1" applyBorder="1" applyAlignment="1">
      <alignment horizontal="center" vertical="center"/>
    </xf>
    <xf numFmtId="3" fontId="17" fillId="0" borderId="3" xfId="3" applyNumberFormat="1" applyFont="1" applyBorder="1" applyAlignment="1">
      <alignment horizontal="center" vertical="center"/>
    </xf>
    <xf numFmtId="169" fontId="17" fillId="0" borderId="1" xfId="3" applyNumberFormat="1" applyFont="1" applyBorder="1" applyAlignment="1" applyProtection="1">
      <alignment horizontal="center" vertical="center"/>
      <protection locked="0"/>
    </xf>
    <xf numFmtId="169" fontId="17" fillId="0" borderId="3" xfId="3" applyNumberFormat="1" applyFont="1" applyBorder="1" applyAlignment="1" applyProtection="1">
      <alignment horizontal="center" vertical="center"/>
      <protection locked="0"/>
    </xf>
    <xf numFmtId="2" fontId="19" fillId="0" borderId="1" xfId="4" applyNumberFormat="1" applyFont="1" applyBorder="1" applyAlignment="1">
      <alignment horizontal="center" vertical="center"/>
    </xf>
    <xf numFmtId="2" fontId="19" fillId="0" borderId="3" xfId="4" applyNumberFormat="1" applyFont="1" applyBorder="1" applyAlignment="1">
      <alignment horizontal="center" vertical="center"/>
    </xf>
    <xf numFmtId="2" fontId="17" fillId="0" borderId="1" xfId="3" applyNumberFormat="1" applyFont="1" applyBorder="1" applyAlignment="1">
      <alignment horizontal="center" vertical="center"/>
    </xf>
    <xf numFmtId="2" fontId="17" fillId="0" borderId="3" xfId="3" applyNumberFormat="1" applyFont="1" applyBorder="1" applyAlignment="1">
      <alignment horizontal="center" vertical="center"/>
    </xf>
    <xf numFmtId="3" fontId="10" fillId="2" borderId="89" xfId="3" applyNumberFormat="1" applyFont="1" applyFill="1" applyBorder="1" applyAlignment="1">
      <alignment horizontal="right" vertical="center"/>
    </xf>
    <xf numFmtId="3" fontId="10" fillId="2" borderId="90" xfId="3" applyNumberFormat="1" applyFont="1" applyFill="1" applyBorder="1" applyAlignment="1">
      <alignment horizontal="right" vertical="center"/>
    </xf>
    <xf numFmtId="3" fontId="10" fillId="2" borderId="91" xfId="3" applyNumberFormat="1" applyFont="1" applyFill="1" applyBorder="1" applyAlignment="1">
      <alignment horizontal="right" vertical="center"/>
    </xf>
    <xf numFmtId="3" fontId="19" fillId="0" borderId="0" xfId="3" applyNumberFormat="1" applyFont="1" applyAlignment="1">
      <alignment horizontal="center" vertical="center"/>
    </xf>
    <xf numFmtId="0" fontId="10" fillId="2" borderId="89" xfId="3" applyFont="1" applyFill="1" applyBorder="1" applyAlignment="1">
      <alignment horizontal="right" vertical="center"/>
    </xf>
    <xf numFmtId="0" fontId="10" fillId="2" borderId="90" xfId="3" applyFont="1" applyFill="1" applyBorder="1" applyAlignment="1">
      <alignment horizontal="right" vertical="center"/>
    </xf>
    <xf numFmtId="0" fontId="10" fillId="2" borderId="91" xfId="3" applyFont="1" applyFill="1" applyBorder="1" applyAlignment="1">
      <alignment horizontal="right" vertical="center"/>
    </xf>
    <xf numFmtId="0" fontId="10" fillId="2" borderId="86" xfId="3" applyFont="1" applyFill="1" applyBorder="1" applyAlignment="1">
      <alignment horizontal="right" vertical="center"/>
    </xf>
    <xf numFmtId="2" fontId="17" fillId="0" borderId="86" xfId="3" applyNumberFormat="1" applyFont="1" applyBorder="1" applyAlignment="1">
      <alignment horizontal="center" vertical="center"/>
    </xf>
    <xf numFmtId="3" fontId="19" fillId="0" borderId="20" xfId="3" applyNumberFormat="1" applyFont="1" applyBorder="1" applyAlignment="1">
      <alignment horizontal="center" vertical="center"/>
    </xf>
    <xf numFmtId="0" fontId="10" fillId="0" borderId="1" xfId="4" applyFont="1" applyBorder="1" applyAlignment="1">
      <alignment horizontal="center" vertical="center"/>
    </xf>
    <xf numFmtId="0" fontId="10" fillId="0" borderId="3" xfId="4" applyFont="1" applyBorder="1" applyAlignment="1">
      <alignment horizontal="center" vertical="center"/>
    </xf>
    <xf numFmtId="4" fontId="19" fillId="0" borderId="0" xfId="3" quotePrefix="1" applyNumberFormat="1" applyFont="1" applyAlignment="1">
      <alignment horizontal="center" vertical="center"/>
    </xf>
    <xf numFmtId="0" fontId="32" fillId="2" borderId="4" xfId="3" applyFont="1" applyFill="1" applyBorder="1" applyAlignment="1">
      <alignment horizontal="center" vertical="center" wrapText="1"/>
    </xf>
    <xf numFmtId="0" fontId="32" fillId="2" borderId="21" xfId="3" applyFont="1" applyFill="1" applyBorder="1" applyAlignment="1">
      <alignment horizontal="center" vertical="center" wrapText="1"/>
    </xf>
    <xf numFmtId="0" fontId="32" fillId="2" borderId="29" xfId="3" applyFont="1" applyFill="1" applyBorder="1" applyAlignment="1">
      <alignment horizontal="center" vertical="center" wrapText="1"/>
    </xf>
    <xf numFmtId="0" fontId="32" fillId="2" borderId="20" xfId="3" applyFont="1" applyFill="1" applyBorder="1" applyAlignment="1">
      <alignment horizontal="center" vertical="center" wrapText="1"/>
    </xf>
    <xf numFmtId="0" fontId="32" fillId="2" borderId="36" xfId="3" applyFont="1" applyFill="1" applyBorder="1" applyAlignment="1">
      <alignment horizontal="center" vertical="center" wrapText="1"/>
    </xf>
    <xf numFmtId="0" fontId="32" fillId="2" borderId="38" xfId="3" applyFont="1" applyFill="1" applyBorder="1" applyAlignment="1">
      <alignment horizontal="center" vertical="center" wrapText="1"/>
    </xf>
    <xf numFmtId="0" fontId="32" fillId="2" borderId="85" xfId="3" applyFont="1" applyFill="1" applyBorder="1" applyAlignment="1">
      <alignment horizontal="center" vertical="center" wrapText="1"/>
    </xf>
    <xf numFmtId="0" fontId="32" fillId="2" borderId="75" xfId="3" applyFont="1" applyFill="1" applyBorder="1" applyAlignment="1">
      <alignment horizontal="center" vertical="center" wrapText="1"/>
    </xf>
    <xf numFmtId="0" fontId="32" fillId="2" borderId="86" xfId="3" applyFont="1" applyFill="1" applyBorder="1" applyAlignment="1">
      <alignment horizontal="center" vertical="center" wrapText="1"/>
    </xf>
    <xf numFmtId="3" fontId="19" fillId="0" borderId="0" xfId="3" quotePrefix="1" applyNumberFormat="1" applyFont="1" applyAlignment="1">
      <alignment horizontal="center" vertical="center"/>
    </xf>
    <xf numFmtId="3" fontId="10" fillId="2" borderId="1" xfId="3" applyNumberFormat="1" applyFont="1" applyFill="1" applyBorder="1" applyAlignment="1">
      <alignment horizontal="center" vertical="center"/>
    </xf>
    <xf numFmtId="3" fontId="10" fillId="2" borderId="2" xfId="3" applyNumberFormat="1" applyFont="1" applyFill="1" applyBorder="1" applyAlignment="1">
      <alignment horizontal="center" vertical="center"/>
    </xf>
    <xf numFmtId="3" fontId="10" fillId="2" borderId="3" xfId="3" applyNumberFormat="1" applyFont="1" applyFill="1" applyBorder="1" applyAlignment="1">
      <alignment horizontal="center" vertical="center"/>
    </xf>
    <xf numFmtId="3" fontId="17" fillId="0" borderId="89" xfId="3" applyNumberFormat="1" applyFont="1" applyBorder="1" applyAlignment="1">
      <alignment horizontal="center" vertical="center"/>
    </xf>
    <xf numFmtId="3" fontId="17" fillId="0" borderId="91" xfId="3" applyNumberFormat="1" applyFont="1" applyBorder="1" applyAlignment="1">
      <alignment horizontal="center" vertical="center"/>
    </xf>
    <xf numFmtId="0" fontId="32" fillId="0" borderId="0" xfId="3" applyFont="1" applyAlignment="1">
      <alignment horizontal="center" vertical="center"/>
    </xf>
    <xf numFmtId="3" fontId="10" fillId="2" borderId="88" xfId="3" applyNumberFormat="1" applyFont="1" applyFill="1" applyBorder="1" applyAlignment="1">
      <alignment horizontal="right" vertical="center"/>
    </xf>
    <xf numFmtId="3" fontId="10" fillId="2" borderId="5" xfId="3" applyNumberFormat="1" applyFont="1" applyFill="1" applyBorder="1" applyAlignment="1">
      <alignment horizontal="right" vertical="center"/>
    </xf>
    <xf numFmtId="3" fontId="10" fillId="2" borderId="6" xfId="3" applyNumberFormat="1" applyFont="1" applyFill="1" applyBorder="1" applyAlignment="1">
      <alignment horizontal="right" vertical="center"/>
    </xf>
    <xf numFmtId="3" fontId="17" fillId="0" borderId="88" xfId="3" quotePrefix="1" applyNumberFormat="1" applyFont="1" applyBorder="1" applyAlignment="1">
      <alignment horizontal="center" vertical="center"/>
    </xf>
    <xf numFmtId="3" fontId="17" fillId="0" borderId="6" xfId="3" quotePrefix="1" applyNumberFormat="1" applyFont="1" applyBorder="1" applyAlignment="1">
      <alignment horizontal="center" vertical="center"/>
    </xf>
    <xf numFmtId="0" fontId="10" fillId="0" borderId="29" xfId="3" quotePrefix="1" applyFont="1" applyBorder="1" applyAlignment="1">
      <alignment horizontal="center" vertical="center"/>
    </xf>
    <xf numFmtId="0" fontId="10" fillId="0" borderId="0" xfId="3" quotePrefix="1" applyFont="1" applyAlignment="1">
      <alignment horizontal="center" vertical="center"/>
    </xf>
    <xf numFmtId="0" fontId="10" fillId="0" borderId="20" xfId="3" quotePrefix="1" applyFont="1" applyBorder="1" applyAlignment="1">
      <alignment horizontal="center" vertical="center"/>
    </xf>
    <xf numFmtId="4" fontId="19" fillId="0" borderId="69" xfId="3" quotePrefix="1" applyNumberFormat="1" applyFont="1" applyBorder="1" applyAlignment="1">
      <alignment horizontal="center" vertical="center"/>
    </xf>
    <xf numFmtId="3" fontId="17" fillId="0" borderId="89" xfId="3" quotePrefix="1" applyNumberFormat="1" applyFont="1" applyBorder="1" applyAlignment="1">
      <alignment horizontal="center" vertical="center"/>
    </xf>
    <xf numFmtId="3" fontId="17" fillId="0" borderId="91" xfId="3" quotePrefix="1" applyNumberFormat="1" applyFont="1" applyBorder="1" applyAlignment="1">
      <alignment horizontal="center" vertical="center"/>
    </xf>
    <xf numFmtId="3" fontId="17" fillId="0" borderId="99" xfId="3" quotePrefix="1" applyNumberFormat="1" applyFont="1" applyBorder="1" applyAlignment="1">
      <alignment horizontal="center" vertical="center"/>
    </xf>
    <xf numFmtId="3" fontId="17" fillId="0" borderId="100" xfId="3" quotePrefix="1" applyNumberFormat="1" applyFont="1" applyBorder="1" applyAlignment="1">
      <alignment horizontal="center" vertical="center"/>
    </xf>
    <xf numFmtId="4" fontId="17" fillId="0" borderId="89" xfId="3" applyNumberFormat="1" applyFont="1" applyBorder="1" applyAlignment="1" applyProtection="1">
      <alignment horizontal="center" vertical="center"/>
      <protection locked="0"/>
    </xf>
    <xf numFmtId="4" fontId="17" fillId="0" borderId="91" xfId="3" applyNumberFormat="1" applyFont="1" applyBorder="1" applyAlignment="1" applyProtection="1">
      <alignment horizontal="center" vertical="center"/>
      <protection locked="0"/>
    </xf>
    <xf numFmtId="2" fontId="17" fillId="0" borderId="0" xfId="3" applyNumberFormat="1" applyFont="1" applyAlignment="1">
      <alignment horizontal="center" vertical="center"/>
    </xf>
    <xf numFmtId="0" fontId="10" fillId="2" borderId="36" xfId="3" applyFont="1" applyFill="1" applyBorder="1" applyAlignment="1">
      <alignment horizontal="left" vertical="center"/>
    </xf>
    <xf numFmtId="0" fontId="10" fillId="2" borderId="37" xfId="3" applyFont="1" applyFill="1" applyBorder="1" applyAlignment="1">
      <alignment horizontal="left" vertical="center"/>
    </xf>
    <xf numFmtId="0" fontId="10" fillId="2" borderId="38" xfId="3" applyFont="1" applyFill="1" applyBorder="1" applyAlignment="1">
      <alignment horizontal="left" vertical="center"/>
    </xf>
    <xf numFmtId="4" fontId="17" fillId="0" borderId="7" xfId="3" applyNumberFormat="1" applyFont="1" applyBorder="1" applyAlignment="1" applyProtection="1">
      <alignment horizontal="center" vertical="center"/>
      <protection locked="0"/>
    </xf>
    <xf numFmtId="4" fontId="17" fillId="0" borderId="9" xfId="3" applyNumberFormat="1" applyFont="1" applyBorder="1" applyAlignment="1" applyProtection="1">
      <alignment horizontal="center" vertical="center"/>
      <protection locked="0"/>
    </xf>
    <xf numFmtId="4" fontId="17" fillId="0" borderId="36" xfId="3" applyNumberFormat="1" applyFont="1" applyBorder="1" applyAlignment="1" applyProtection="1">
      <alignment horizontal="center" vertical="center"/>
      <protection locked="0"/>
    </xf>
    <xf numFmtId="4" fontId="17" fillId="0" borderId="38" xfId="3" applyNumberFormat="1" applyFont="1" applyBorder="1" applyAlignment="1" applyProtection="1">
      <alignment horizontal="center" vertical="center"/>
      <protection locked="0"/>
    </xf>
    <xf numFmtId="169" fontId="17" fillId="0" borderId="0" xfId="3" quotePrefix="1" applyNumberFormat="1" applyFont="1" applyAlignment="1">
      <alignment horizontal="center" vertical="center"/>
    </xf>
    <xf numFmtId="0" fontId="10" fillId="2" borderId="89" xfId="3" applyFont="1" applyFill="1" applyBorder="1" applyAlignment="1">
      <alignment horizontal="left" vertical="center"/>
    </xf>
    <xf numFmtId="0" fontId="10" fillId="2" borderId="90" xfId="3" applyFont="1" applyFill="1" applyBorder="1" applyAlignment="1">
      <alignment horizontal="left" vertical="center"/>
    </xf>
    <xf numFmtId="0" fontId="10" fillId="2" borderId="91" xfId="3" applyFont="1" applyFill="1" applyBorder="1" applyAlignment="1">
      <alignment horizontal="left" vertical="center"/>
    </xf>
    <xf numFmtId="0" fontId="10" fillId="2" borderId="75" xfId="3" applyFont="1" applyFill="1" applyBorder="1" applyAlignment="1">
      <alignment horizontal="left" vertical="center"/>
    </xf>
    <xf numFmtId="4" fontId="17" fillId="0" borderId="88" xfId="3" applyNumberFormat="1" applyFont="1" applyBorder="1" applyAlignment="1" applyProtection="1">
      <alignment horizontal="center" vertical="center"/>
      <protection locked="0"/>
    </xf>
    <xf numFmtId="4" fontId="17" fillId="0" borderId="6" xfId="3" applyNumberFormat="1" applyFont="1" applyBorder="1" applyAlignment="1" applyProtection="1">
      <alignment horizontal="center" vertical="center"/>
      <protection locked="0"/>
    </xf>
    <xf numFmtId="0" fontId="10" fillId="2" borderId="83" xfId="3" applyFont="1" applyFill="1" applyBorder="1" applyAlignment="1">
      <alignment horizontal="center" vertical="center"/>
    </xf>
    <xf numFmtId="0" fontId="10" fillId="2" borderId="84" xfId="3" applyFont="1" applyFill="1" applyBorder="1" applyAlignment="1">
      <alignment horizontal="center" vertical="center"/>
    </xf>
    <xf numFmtId="169" fontId="17" fillId="0" borderId="82" xfId="3" applyNumberFormat="1" applyFont="1" applyBorder="1" applyAlignment="1" applyProtection="1">
      <alignment horizontal="center" vertical="center"/>
      <protection locked="0"/>
    </xf>
    <xf numFmtId="169" fontId="17" fillId="0" borderId="83" xfId="3" applyNumberFormat="1" applyFont="1" applyBorder="1" applyAlignment="1" applyProtection="1">
      <alignment horizontal="center" vertical="center"/>
      <protection locked="0"/>
    </xf>
    <xf numFmtId="4" fontId="17" fillId="3" borderId="84" xfId="3" applyNumberFormat="1" applyFont="1" applyFill="1" applyBorder="1" applyAlignment="1">
      <alignment horizontal="center" vertical="center"/>
    </xf>
    <xf numFmtId="0" fontId="10" fillId="2" borderId="87" xfId="3" applyFont="1" applyFill="1" applyBorder="1" applyAlignment="1">
      <alignment horizontal="center" vertical="center"/>
    </xf>
    <xf numFmtId="0" fontId="10" fillId="2" borderId="80" xfId="3" applyFont="1" applyFill="1" applyBorder="1" applyAlignment="1">
      <alignment horizontal="center" vertical="center"/>
    </xf>
    <xf numFmtId="0" fontId="10" fillId="2" borderId="81" xfId="3" applyFont="1" applyFill="1" applyBorder="1" applyAlignment="1">
      <alignment horizontal="center" vertical="center"/>
    </xf>
    <xf numFmtId="169" fontId="17" fillId="0" borderId="79" xfId="3" applyNumberFormat="1" applyFont="1" applyBorder="1" applyAlignment="1" applyProtection="1">
      <alignment horizontal="center" vertical="center"/>
      <protection locked="0"/>
    </xf>
    <xf numFmtId="169" fontId="17" fillId="0" borderId="80" xfId="3" applyNumberFormat="1" applyFont="1" applyBorder="1" applyAlignment="1" applyProtection="1">
      <alignment horizontal="center" vertical="center"/>
      <protection locked="0"/>
    </xf>
    <xf numFmtId="4" fontId="17" fillId="3" borderId="81" xfId="3" applyNumberFormat="1" applyFont="1" applyFill="1" applyBorder="1" applyAlignment="1">
      <alignment horizontal="center" vertical="center"/>
    </xf>
    <xf numFmtId="169" fontId="17" fillId="3" borderId="84" xfId="3" applyNumberFormat="1" applyFont="1" applyFill="1" applyBorder="1" applyAlignment="1">
      <alignment horizontal="center" vertical="center"/>
    </xf>
    <xf numFmtId="169" fontId="17" fillId="0" borderId="84" xfId="3" applyNumberFormat="1" applyFont="1" applyBorder="1" applyAlignment="1">
      <alignment horizontal="center" vertical="center"/>
    </xf>
    <xf numFmtId="9" fontId="17" fillId="0" borderId="84" xfId="3" applyNumberFormat="1" applyFont="1" applyBorder="1" applyAlignment="1">
      <alignment horizontal="center" vertical="center"/>
    </xf>
    <xf numFmtId="9" fontId="17" fillId="0" borderId="78" xfId="3" applyNumberFormat="1" applyFont="1" applyBorder="1" applyAlignment="1">
      <alignment horizontal="center" vertical="center"/>
    </xf>
    <xf numFmtId="169" fontId="17" fillId="0" borderId="81" xfId="3" applyNumberFormat="1" applyFont="1" applyBorder="1" applyAlignment="1">
      <alignment horizontal="center" vertical="center"/>
    </xf>
    <xf numFmtId="9" fontId="17" fillId="0" borderId="81" xfId="3" applyNumberFormat="1" applyFont="1" applyBorder="1" applyAlignment="1">
      <alignment horizontal="center" vertical="center"/>
    </xf>
    <xf numFmtId="169" fontId="17" fillId="0" borderId="78" xfId="3" applyNumberFormat="1" applyFont="1" applyBorder="1" applyAlignment="1">
      <alignment horizontal="center" vertical="center"/>
    </xf>
    <xf numFmtId="169" fontId="17" fillId="3" borderId="81" xfId="3" applyNumberFormat="1" applyFont="1" applyFill="1" applyBorder="1" applyAlignment="1">
      <alignment horizontal="center" vertical="center"/>
    </xf>
    <xf numFmtId="173" fontId="17" fillId="3" borderId="81" xfId="3" applyNumberFormat="1" applyFont="1" applyFill="1" applyBorder="1" applyAlignment="1">
      <alignment horizontal="center" vertical="center"/>
    </xf>
    <xf numFmtId="0" fontId="10" fillId="2" borderId="77" xfId="3" applyFont="1" applyFill="1" applyBorder="1" applyAlignment="1">
      <alignment horizontal="center" vertical="center"/>
    </xf>
    <xf numFmtId="0" fontId="10" fillId="2" borderId="78" xfId="3" applyFont="1" applyFill="1" applyBorder="1" applyAlignment="1">
      <alignment horizontal="center" vertical="center"/>
    </xf>
    <xf numFmtId="169" fontId="17" fillId="0" borderId="78" xfId="3" applyNumberFormat="1" applyFont="1" applyBorder="1" applyAlignment="1" applyProtection="1">
      <alignment horizontal="center" vertical="center"/>
      <protection locked="0"/>
    </xf>
    <xf numFmtId="4" fontId="17" fillId="3" borderId="78" xfId="3" applyNumberFormat="1" applyFont="1" applyFill="1" applyBorder="1" applyAlignment="1">
      <alignment horizontal="center" vertical="center"/>
    </xf>
    <xf numFmtId="169" fontId="17" fillId="3" borderId="78" xfId="3" applyNumberFormat="1" applyFont="1" applyFill="1" applyBorder="1" applyAlignment="1">
      <alignment horizontal="center" vertical="center"/>
    </xf>
    <xf numFmtId="171" fontId="17" fillId="0" borderId="0" xfId="3" applyNumberFormat="1" applyFont="1" applyAlignment="1">
      <alignment horizontal="center" vertical="center"/>
    </xf>
    <xf numFmtId="0" fontId="17" fillId="0" borderId="0" xfId="3" applyFont="1" applyAlignment="1">
      <alignment vertical="center"/>
    </xf>
    <xf numFmtId="0" fontId="10" fillId="2" borderId="82" xfId="3" applyFont="1" applyFill="1" applyBorder="1" applyAlignment="1">
      <alignment horizontal="center" vertical="center"/>
    </xf>
    <xf numFmtId="0" fontId="17" fillId="0" borderId="0" xfId="3" applyFont="1" applyAlignment="1">
      <alignment horizontal="center" vertical="center" wrapText="1"/>
    </xf>
    <xf numFmtId="0" fontId="17" fillId="0" borderId="20" xfId="3" applyFont="1" applyBorder="1" applyAlignment="1">
      <alignment horizontal="center" vertical="center" wrapText="1"/>
    </xf>
    <xf numFmtId="0" fontId="10" fillId="2" borderId="79" xfId="3" applyFont="1" applyFill="1" applyBorder="1" applyAlignment="1">
      <alignment horizontal="center" vertical="center"/>
    </xf>
    <xf numFmtId="0" fontId="12" fillId="2" borderId="3" xfId="3" applyFont="1" applyFill="1" applyBorder="1" applyAlignment="1">
      <alignment horizontal="center" vertical="center"/>
    </xf>
    <xf numFmtId="0" fontId="12" fillId="2" borderId="1" xfId="3" applyFont="1" applyFill="1" applyBorder="1" applyAlignment="1">
      <alignment horizontal="center" vertical="center" wrapText="1"/>
    </xf>
    <xf numFmtId="0" fontId="10" fillId="2" borderId="76" xfId="3" applyFont="1" applyFill="1" applyBorder="1" applyAlignment="1">
      <alignment horizontal="center" vertical="center"/>
    </xf>
    <xf numFmtId="169" fontId="17" fillId="0" borderId="76" xfId="3" applyNumberFormat="1" applyFont="1" applyBorder="1" applyAlignment="1" applyProtection="1">
      <alignment horizontal="center" vertical="center"/>
      <protection locked="0"/>
    </xf>
    <xf numFmtId="169" fontId="17" fillId="0" borderId="77" xfId="3" applyNumberFormat="1" applyFont="1" applyBorder="1" applyAlignment="1" applyProtection="1">
      <alignment horizontal="center" vertical="center"/>
      <protection locked="0"/>
    </xf>
    <xf numFmtId="4" fontId="17" fillId="3" borderId="76" xfId="3" applyNumberFormat="1" applyFont="1" applyFill="1" applyBorder="1" applyAlignment="1">
      <alignment horizontal="center" vertical="center"/>
    </xf>
    <xf numFmtId="4" fontId="17" fillId="3" borderId="77" xfId="3" applyNumberFormat="1" applyFont="1" applyFill="1" applyBorder="1" applyAlignment="1">
      <alignment horizontal="center" vertical="center"/>
    </xf>
    <xf numFmtId="0" fontId="10" fillId="2" borderId="87" xfId="4" applyFont="1" applyFill="1" applyBorder="1" applyAlignment="1">
      <alignment horizontal="left" vertical="center"/>
    </xf>
    <xf numFmtId="0" fontId="10" fillId="0" borderId="2" xfId="4" applyFont="1" applyBorder="1" applyAlignment="1">
      <alignment horizontal="center" vertical="center"/>
    </xf>
    <xf numFmtId="0" fontId="3" fillId="0" borderId="29" xfId="3" applyFont="1" applyBorder="1" applyAlignment="1">
      <alignment horizontal="center" vertical="center" textRotation="90" wrapText="1"/>
    </xf>
    <xf numFmtId="0" fontId="39" fillId="0" borderId="0" xfId="3" applyFont="1" applyAlignment="1">
      <alignment horizontal="center" vertical="center"/>
    </xf>
    <xf numFmtId="0" fontId="10" fillId="2" borderId="87" xfId="3" applyFont="1" applyFill="1" applyBorder="1" applyAlignment="1">
      <alignment horizontal="right" vertical="center"/>
    </xf>
    <xf numFmtId="2" fontId="19" fillId="3" borderId="87" xfId="3" applyNumberFormat="1" applyFont="1" applyFill="1" applyBorder="1" applyAlignment="1">
      <alignment horizontal="center" vertical="center"/>
    </xf>
    <xf numFmtId="4" fontId="19" fillId="3" borderId="87" xfId="3" applyNumberFormat="1" applyFont="1" applyFill="1" applyBorder="1" applyAlignment="1">
      <alignment horizontal="center" vertical="center"/>
    </xf>
    <xf numFmtId="0" fontId="19" fillId="3" borderId="87" xfId="3" applyFont="1" applyFill="1" applyBorder="1" applyAlignment="1">
      <alignment horizontal="center" vertical="center"/>
    </xf>
    <xf numFmtId="0" fontId="10" fillId="2" borderId="1" xfId="3" applyFont="1" applyFill="1" applyBorder="1" applyAlignment="1">
      <alignment horizontal="center" vertical="center"/>
    </xf>
    <xf numFmtId="0" fontId="10" fillId="2" borderId="2" xfId="3" applyFont="1" applyFill="1" applyBorder="1" applyAlignment="1">
      <alignment horizontal="center" vertical="center"/>
    </xf>
    <xf numFmtId="0" fontId="10" fillId="2" borderId="3" xfId="3" applyFont="1" applyFill="1" applyBorder="1" applyAlignment="1">
      <alignment horizontal="center" vertical="center"/>
    </xf>
    <xf numFmtId="171" fontId="17" fillId="3" borderId="1" xfId="3" applyNumberFormat="1" applyFont="1" applyFill="1" applyBorder="1" applyAlignment="1">
      <alignment horizontal="center" vertical="center"/>
    </xf>
    <xf numFmtId="171" fontId="17" fillId="3" borderId="2" xfId="3" applyNumberFormat="1" applyFont="1" applyFill="1" applyBorder="1" applyAlignment="1">
      <alignment horizontal="center" vertical="center"/>
    </xf>
    <xf numFmtId="2" fontId="19" fillId="0" borderId="1" xfId="3" applyNumberFormat="1" applyFont="1" applyBorder="1" applyAlignment="1">
      <alignment horizontal="center" vertical="center"/>
    </xf>
    <xf numFmtId="2" fontId="19" fillId="0" borderId="3" xfId="3" applyNumberFormat="1" applyFont="1" applyBorder="1" applyAlignment="1">
      <alignment horizontal="center" vertical="center"/>
    </xf>
    <xf numFmtId="0" fontId="10" fillId="2" borderId="87" xfId="3" applyFont="1" applyFill="1" applyBorder="1" applyAlignment="1">
      <alignment horizontal="left" vertical="center"/>
    </xf>
    <xf numFmtId="0" fontId="10" fillId="2" borderId="4" xfId="3" applyFont="1" applyFill="1" applyBorder="1" applyAlignment="1">
      <alignment horizontal="center" vertical="center"/>
    </xf>
    <xf numFmtId="0" fontId="10" fillId="2" borderId="13" xfId="3" applyFont="1" applyFill="1" applyBorder="1" applyAlignment="1">
      <alignment horizontal="center" vertical="center"/>
    </xf>
    <xf numFmtId="0" fontId="10" fillId="2" borderId="36" xfId="3" applyFont="1" applyFill="1" applyBorder="1" applyAlignment="1">
      <alignment horizontal="center" vertical="center"/>
    </xf>
    <xf numFmtId="0" fontId="10" fillId="2" borderId="37" xfId="3" applyFont="1" applyFill="1" applyBorder="1" applyAlignment="1">
      <alignment horizontal="center" vertical="center"/>
    </xf>
    <xf numFmtId="2" fontId="10" fillId="2" borderId="86" xfId="3" applyNumberFormat="1" applyFont="1" applyFill="1" applyBorder="1" applyAlignment="1">
      <alignment horizontal="center" vertical="center"/>
    </xf>
    <xf numFmtId="0" fontId="10" fillId="2" borderId="1" xfId="3" applyFont="1" applyFill="1" applyBorder="1" applyAlignment="1">
      <alignment horizontal="right" vertical="center"/>
    </xf>
    <xf numFmtId="0" fontId="10" fillId="2" borderId="2" xfId="3" applyFont="1" applyFill="1" applyBorder="1" applyAlignment="1">
      <alignment horizontal="right" vertical="center"/>
    </xf>
    <xf numFmtId="0" fontId="10" fillId="2" borderId="3" xfId="3" applyFont="1" applyFill="1" applyBorder="1" applyAlignment="1">
      <alignment horizontal="right" vertical="center"/>
    </xf>
    <xf numFmtId="2" fontId="19" fillId="3" borderId="1" xfId="3" applyNumberFormat="1" applyFont="1" applyFill="1" applyBorder="1" applyAlignment="1">
      <alignment horizontal="center" vertical="center"/>
    </xf>
    <xf numFmtId="4" fontId="19" fillId="3" borderId="2" xfId="3" applyNumberFormat="1" applyFont="1" applyFill="1" applyBorder="1" applyAlignment="1">
      <alignment horizontal="center" vertical="center"/>
    </xf>
    <xf numFmtId="4" fontId="19" fillId="3" borderId="3" xfId="3" applyNumberFormat="1" applyFont="1" applyFill="1" applyBorder="1" applyAlignment="1">
      <alignment horizontal="center" vertical="center"/>
    </xf>
    <xf numFmtId="4" fontId="19" fillId="3" borderId="1" xfId="3" applyNumberFormat="1" applyFont="1" applyFill="1" applyBorder="1" applyAlignment="1">
      <alignment horizontal="center" vertical="center"/>
    </xf>
    <xf numFmtId="171" fontId="17" fillId="0" borderId="1" xfId="3" applyNumberFormat="1" applyFont="1" applyBorder="1" applyAlignment="1">
      <alignment horizontal="center" vertical="center"/>
    </xf>
    <xf numFmtId="171" fontId="17" fillId="0" borderId="2" xfId="3" applyNumberFormat="1" applyFont="1" applyBorder="1" applyAlignment="1">
      <alignment horizontal="center" vertical="center"/>
    </xf>
    <xf numFmtId="0" fontId="10" fillId="2" borderId="38" xfId="3" applyFont="1" applyFill="1" applyBorder="1" applyAlignment="1">
      <alignment horizontal="center" vertical="center"/>
    </xf>
    <xf numFmtId="0" fontId="10" fillId="2" borderId="86" xfId="3" applyFont="1" applyFill="1" applyBorder="1" applyAlignment="1">
      <alignment horizontal="center" vertical="center"/>
    </xf>
    <xf numFmtId="0" fontId="10" fillId="2" borderId="1" xfId="3" applyFont="1" applyFill="1" applyBorder="1" applyAlignment="1">
      <alignment horizontal="left" vertical="center"/>
    </xf>
    <xf numFmtId="0" fontId="10" fillId="2" borderId="2" xfId="3" applyFont="1" applyFill="1" applyBorder="1" applyAlignment="1">
      <alignment horizontal="left" vertical="center"/>
    </xf>
    <xf numFmtId="0" fontId="10" fillId="2" borderId="3" xfId="3" applyFont="1" applyFill="1" applyBorder="1" applyAlignment="1">
      <alignment horizontal="left" vertical="center"/>
    </xf>
    <xf numFmtId="171" fontId="17" fillId="0" borderId="87" xfId="3" applyNumberFormat="1" applyFont="1" applyBorder="1" applyAlignment="1">
      <alignment horizontal="center" vertical="center"/>
    </xf>
    <xf numFmtId="2" fontId="17" fillId="0" borderId="87" xfId="3" applyNumberFormat="1" applyFont="1" applyBorder="1" applyAlignment="1">
      <alignment horizontal="center" vertical="center"/>
    </xf>
    <xf numFmtId="0" fontId="18" fillId="4" borderId="1" xfId="3" applyFont="1" applyFill="1" applyBorder="1" applyAlignment="1">
      <alignment horizontal="center" vertical="center"/>
    </xf>
    <xf numFmtId="0" fontId="18" fillId="4" borderId="2" xfId="3" applyFont="1" applyFill="1" applyBorder="1" applyAlignment="1">
      <alignment horizontal="center" vertical="center"/>
    </xf>
    <xf numFmtId="0" fontId="18" fillId="4" borderId="3" xfId="3" applyFont="1" applyFill="1" applyBorder="1" applyAlignment="1">
      <alignment horizontal="center" vertical="center"/>
    </xf>
    <xf numFmtId="0" fontId="19" fillId="0" borderId="0" xfId="3" applyFont="1" applyAlignment="1">
      <alignment horizontal="left" vertical="center"/>
    </xf>
    <xf numFmtId="0" fontId="13" fillId="0" borderId="29" xfId="3" applyFont="1" applyBorder="1" applyAlignment="1">
      <alignment horizontal="left" vertical="center"/>
    </xf>
    <xf numFmtId="0" fontId="13" fillId="0" borderId="0" xfId="3" applyFont="1" applyAlignment="1">
      <alignment horizontal="left" vertical="center"/>
    </xf>
    <xf numFmtId="4" fontId="17" fillId="0" borderId="0" xfId="3" quotePrefix="1" applyNumberFormat="1" applyFont="1" applyAlignment="1">
      <alignment horizontal="center" vertical="center"/>
    </xf>
    <xf numFmtId="0" fontId="38" fillId="0" borderId="0" xfId="3" applyFont="1" applyAlignment="1">
      <alignment horizontal="center" vertical="center"/>
    </xf>
    <xf numFmtId="0" fontId="38" fillId="0" borderId="20" xfId="3" applyFont="1" applyBorder="1" applyAlignment="1">
      <alignment horizontal="center" vertical="center"/>
    </xf>
    <xf numFmtId="0" fontId="35" fillId="0" borderId="4" xfId="3" applyFont="1" applyBorder="1" applyAlignment="1">
      <alignment horizontal="center" vertical="center" wrapText="1"/>
    </xf>
    <xf numFmtId="0" fontId="35" fillId="0" borderId="21" xfId="3" applyFont="1" applyBorder="1" applyAlignment="1">
      <alignment horizontal="center" vertical="center" wrapText="1"/>
    </xf>
    <xf numFmtId="0" fontId="35" fillId="0" borderId="36" xfId="3" applyFont="1" applyBorder="1" applyAlignment="1">
      <alignment horizontal="center" vertical="center" wrapText="1"/>
    </xf>
    <xf numFmtId="0" fontId="35" fillId="0" borderId="38" xfId="3" applyFont="1" applyBorder="1" applyAlignment="1">
      <alignment horizontal="center" vertical="center" wrapText="1"/>
    </xf>
    <xf numFmtId="0" fontId="19" fillId="0" borderId="69" xfId="3" applyFont="1" applyBorder="1" applyAlignment="1">
      <alignment horizontal="center" vertical="center"/>
    </xf>
    <xf numFmtId="0" fontId="33" fillId="0" borderId="29" xfId="3" applyFont="1" applyBorder="1" applyAlignment="1">
      <alignment horizontal="center" vertical="center"/>
    </xf>
    <xf numFmtId="0" fontId="17" fillId="0" borderId="0" xfId="3" applyFont="1" applyAlignment="1">
      <alignment horizontal="center" vertical="center"/>
    </xf>
    <xf numFmtId="0" fontId="17" fillId="0" borderId="20" xfId="3" applyFont="1" applyBorder="1" applyAlignment="1">
      <alignment horizontal="center" vertical="center"/>
    </xf>
    <xf numFmtId="0" fontId="17" fillId="0" borderId="29" xfId="3" applyFont="1" applyBorder="1" applyAlignment="1">
      <alignment horizontal="center" vertical="center"/>
    </xf>
    <xf numFmtId="0" fontId="17" fillId="0" borderId="64" xfId="3" applyFont="1" applyBorder="1" applyAlignment="1">
      <alignment horizontal="center" vertical="center"/>
    </xf>
    <xf numFmtId="0" fontId="17" fillId="0" borderId="65" xfId="3" applyFont="1" applyBorder="1" applyAlignment="1">
      <alignment horizontal="center" vertical="center"/>
    </xf>
    <xf numFmtId="0" fontId="17" fillId="0" borderId="66" xfId="3" applyFont="1" applyBorder="1" applyAlignment="1">
      <alignment horizontal="center" vertical="center"/>
    </xf>
    <xf numFmtId="0" fontId="45" fillId="0" borderId="92" xfId="3" applyFont="1" applyBorder="1" applyAlignment="1">
      <alignment horizontal="center" vertical="center"/>
    </xf>
    <xf numFmtId="3" fontId="46" fillId="0" borderId="89" xfId="3" applyNumberFormat="1" applyFont="1" applyBorder="1" applyAlignment="1">
      <alignment horizontal="center" vertical="center"/>
    </xf>
    <xf numFmtId="3" fontId="46" fillId="0" borderId="90" xfId="3" applyNumberFormat="1" applyFont="1" applyBorder="1" applyAlignment="1">
      <alignment horizontal="center" vertical="center"/>
    </xf>
    <xf numFmtId="3" fontId="46" fillId="0" borderId="91" xfId="3" applyNumberFormat="1" applyFont="1" applyBorder="1" applyAlignment="1">
      <alignment horizontal="center" vertical="center"/>
    </xf>
    <xf numFmtId="0" fontId="45" fillId="0" borderId="89" xfId="3" applyFont="1" applyBorder="1" applyAlignment="1">
      <alignment horizontal="center" vertical="center"/>
    </xf>
    <xf numFmtId="0" fontId="45" fillId="0" borderId="91" xfId="3" applyFont="1" applyBorder="1" applyAlignment="1">
      <alignment horizontal="center" vertical="center"/>
    </xf>
    <xf numFmtId="3" fontId="47" fillId="0" borderId="104" xfId="3" applyNumberFormat="1" applyFont="1" applyBorder="1" applyAlignment="1" applyProtection="1">
      <alignment horizontal="center" vertical="center"/>
      <protection locked="0"/>
    </xf>
    <xf numFmtId="169" fontId="47" fillId="0" borderId="104" xfId="3" applyNumberFormat="1" applyFont="1" applyBorder="1" applyAlignment="1" applyProtection="1">
      <alignment horizontal="center" vertical="center"/>
      <protection locked="0"/>
    </xf>
    <xf numFmtId="3" fontId="46" fillId="0" borderId="7" xfId="3" applyNumberFormat="1" applyFont="1" applyBorder="1" applyAlignment="1">
      <alignment horizontal="center" vertical="center"/>
    </xf>
    <xf numFmtId="3" fontId="46" fillId="0" borderId="8" xfId="3" applyNumberFormat="1" applyFont="1" applyBorder="1" applyAlignment="1">
      <alignment horizontal="center" vertical="center"/>
    </xf>
    <xf numFmtId="3" fontId="46" fillId="0" borderId="9" xfId="3" applyNumberFormat="1" applyFont="1" applyBorder="1" applyAlignment="1">
      <alignment horizontal="center" vertical="center"/>
    </xf>
    <xf numFmtId="0" fontId="45" fillId="0" borderId="7" xfId="3" applyFont="1" applyBorder="1" applyAlignment="1">
      <alignment horizontal="center" vertical="center"/>
    </xf>
    <xf numFmtId="0" fontId="45" fillId="0" borderId="9" xfId="3" applyFont="1" applyBorder="1" applyAlignment="1">
      <alignment horizontal="center" vertical="center"/>
    </xf>
    <xf numFmtId="3" fontId="47" fillId="0" borderId="108" xfId="3" applyNumberFormat="1" applyFont="1" applyBorder="1" applyAlignment="1" applyProtection="1">
      <alignment horizontal="center" vertical="center"/>
      <protection locked="0"/>
    </xf>
    <xf numFmtId="169" fontId="47" fillId="0" borderId="108" xfId="3" applyNumberFormat="1" applyFont="1" applyBorder="1" applyAlignment="1" applyProtection="1">
      <alignment horizontal="center" vertical="center"/>
      <protection locked="0"/>
    </xf>
    <xf numFmtId="3" fontId="47" fillId="0" borderId="128" xfId="3" applyNumberFormat="1" applyFont="1" applyBorder="1" applyAlignment="1" applyProtection="1">
      <alignment horizontal="center" vertical="center"/>
      <protection locked="0"/>
    </xf>
    <xf numFmtId="3" fontId="47" fillId="0" borderId="92" xfId="3" applyNumberFormat="1" applyFont="1" applyBorder="1" applyAlignment="1" applyProtection="1">
      <alignment horizontal="center" vertical="center"/>
      <protection locked="0"/>
    </xf>
    <xf numFmtId="169" fontId="47" fillId="0" borderId="92" xfId="3" applyNumberFormat="1" applyFont="1" applyBorder="1" applyAlignment="1" applyProtection="1">
      <alignment horizontal="center" vertical="center"/>
      <protection locked="0"/>
    </xf>
    <xf numFmtId="3" fontId="47" fillId="0" borderId="91" xfId="3" applyNumberFormat="1" applyFont="1" applyBorder="1" applyAlignment="1" applyProtection="1">
      <alignment horizontal="center" vertical="center"/>
      <protection locked="0"/>
    </xf>
    <xf numFmtId="3" fontId="47" fillId="0" borderId="100" xfId="3" applyNumberFormat="1" applyFont="1" applyBorder="1" applyAlignment="1" applyProtection="1">
      <alignment horizontal="center" vertical="center"/>
      <protection locked="0"/>
    </xf>
    <xf numFmtId="3" fontId="47" fillId="0" borderId="110" xfId="3" applyNumberFormat="1" applyFont="1" applyBorder="1" applyAlignment="1" applyProtection="1">
      <alignment horizontal="center" vertical="center"/>
      <protection locked="0"/>
    </xf>
    <xf numFmtId="169" fontId="47" fillId="0" borderId="110" xfId="3" applyNumberFormat="1" applyFont="1" applyBorder="1" applyAlignment="1" applyProtection="1">
      <alignment horizontal="center" vertical="center"/>
      <protection locked="0"/>
    </xf>
    <xf numFmtId="3" fontId="47" fillId="0" borderId="103" xfId="3" applyNumberFormat="1" applyFont="1" applyBorder="1" applyAlignment="1" applyProtection="1">
      <alignment horizontal="center" vertical="center"/>
      <protection locked="0"/>
    </xf>
    <xf numFmtId="169" fontId="47" fillId="0" borderId="103" xfId="3" applyNumberFormat="1" applyFont="1" applyBorder="1" applyAlignment="1" applyProtection="1">
      <alignment horizontal="center" vertical="center"/>
      <protection locked="0"/>
    </xf>
    <xf numFmtId="0" fontId="44" fillId="2" borderId="4" xfId="3" applyFont="1" applyFill="1" applyBorder="1" applyAlignment="1">
      <alignment horizontal="center" vertical="center" wrapText="1"/>
    </xf>
    <xf numFmtId="0" fontId="44" fillId="2" borderId="21" xfId="3" applyFont="1" applyFill="1" applyBorder="1" applyAlignment="1">
      <alignment horizontal="center" vertical="center" wrapText="1"/>
    </xf>
    <xf numFmtId="0" fontId="44" fillId="2" borderId="36" xfId="3" applyFont="1" applyFill="1" applyBorder="1" applyAlignment="1">
      <alignment horizontal="center" vertical="center" wrapText="1"/>
    </xf>
    <xf numFmtId="0" fontId="44" fillId="2" borderId="38" xfId="3" applyFont="1" applyFill="1" applyBorder="1" applyAlignment="1">
      <alignment horizontal="center" vertical="center" wrapText="1"/>
    </xf>
    <xf numFmtId="0" fontId="44" fillId="2" borderId="1" xfId="3" applyFont="1" applyFill="1" applyBorder="1" applyAlignment="1">
      <alignment horizontal="center" vertical="center" wrapText="1"/>
    </xf>
    <xf numFmtId="0" fontId="44" fillId="2" borderId="2" xfId="3" applyFont="1" applyFill="1" applyBorder="1" applyAlignment="1">
      <alignment horizontal="center" vertical="center" wrapText="1"/>
    </xf>
    <xf numFmtId="0" fontId="44" fillId="2" borderId="3" xfId="3" applyFont="1" applyFill="1" applyBorder="1" applyAlignment="1">
      <alignment horizontal="center" vertical="center" wrapText="1"/>
    </xf>
    <xf numFmtId="0" fontId="44" fillId="2" borderId="13" xfId="3" applyFont="1" applyFill="1" applyBorder="1" applyAlignment="1">
      <alignment horizontal="center" vertical="center" wrapText="1"/>
    </xf>
    <xf numFmtId="0" fontId="44" fillId="2" borderId="37" xfId="3" applyFont="1" applyFill="1" applyBorder="1" applyAlignment="1">
      <alignment horizontal="center" vertical="center" wrapText="1"/>
    </xf>
    <xf numFmtId="0" fontId="44" fillId="2" borderId="85" xfId="3" applyFont="1" applyFill="1" applyBorder="1" applyAlignment="1">
      <alignment horizontal="center" vertical="center" wrapText="1"/>
    </xf>
    <xf numFmtId="0" fontId="44" fillId="2" borderId="86" xfId="3" applyFont="1" applyFill="1" applyBorder="1" applyAlignment="1">
      <alignment horizontal="center" vertical="center" wrapText="1"/>
    </xf>
    <xf numFmtId="0" fontId="44" fillId="0" borderId="4" xfId="3" applyFont="1" applyBorder="1" applyAlignment="1">
      <alignment horizontal="center" vertical="center" wrapText="1"/>
    </xf>
    <xf numFmtId="0" fontId="44" fillId="0" borderId="13" xfId="3" applyFont="1" applyBorder="1" applyAlignment="1">
      <alignment horizontal="center" vertical="center" wrapText="1"/>
    </xf>
    <xf numFmtId="0" fontId="44" fillId="0" borderId="21" xfId="3" applyFont="1" applyBorder="1" applyAlignment="1">
      <alignment horizontal="center" vertical="center" wrapText="1"/>
    </xf>
    <xf numFmtId="0" fontId="44" fillId="0" borderId="36" xfId="3" applyFont="1" applyBorder="1" applyAlignment="1">
      <alignment horizontal="center" vertical="center" wrapText="1"/>
    </xf>
    <xf numFmtId="0" fontId="44" fillId="0" borderId="37" xfId="3" applyFont="1" applyBorder="1" applyAlignment="1">
      <alignment horizontal="center" vertical="center" wrapText="1"/>
    </xf>
    <xf numFmtId="0" fontId="44" fillId="0" borderId="38" xfId="3" applyFont="1" applyBorder="1" applyAlignment="1">
      <alignment horizontal="center" vertical="center" wrapText="1"/>
    </xf>
    <xf numFmtId="0" fontId="45" fillId="0" borderId="85" xfId="3" applyFont="1" applyBorder="1" applyAlignment="1">
      <alignment horizontal="center" vertical="center"/>
    </xf>
    <xf numFmtId="3" fontId="46" fillId="0" borderId="88" xfId="3" applyNumberFormat="1" applyFont="1" applyBorder="1" applyAlignment="1">
      <alignment horizontal="center" vertical="center"/>
    </xf>
    <xf numFmtId="3" fontId="46" fillId="0" borderId="5" xfId="3" applyNumberFormat="1" applyFont="1" applyBorder="1" applyAlignment="1">
      <alignment horizontal="center" vertical="center"/>
    </xf>
    <xf numFmtId="3" fontId="46" fillId="0" borderId="6" xfId="3" applyNumberFormat="1" applyFont="1" applyBorder="1" applyAlignment="1">
      <alignment horizontal="center" vertical="center"/>
    </xf>
    <xf numFmtId="169" fontId="46" fillId="0" borderId="4" xfId="3" applyNumberFormat="1" applyFont="1" applyBorder="1" applyAlignment="1">
      <alignment horizontal="center" vertical="center" wrapText="1"/>
    </xf>
    <xf numFmtId="169" fontId="46" fillId="0" borderId="13" xfId="3" applyNumberFormat="1" applyFont="1" applyBorder="1" applyAlignment="1">
      <alignment horizontal="center" vertical="center"/>
    </xf>
    <xf numFmtId="169" fontId="46" fillId="0" borderId="21" xfId="3" applyNumberFormat="1" applyFont="1" applyBorder="1" applyAlignment="1">
      <alignment horizontal="center" vertical="center"/>
    </xf>
    <xf numFmtId="169" fontId="46" fillId="0" borderId="29" xfId="3" applyNumberFormat="1" applyFont="1" applyBorder="1" applyAlignment="1">
      <alignment horizontal="center" vertical="center"/>
    </xf>
    <xf numFmtId="169" fontId="46" fillId="0" borderId="0" xfId="3" applyNumberFormat="1" applyFont="1" applyAlignment="1">
      <alignment horizontal="center" vertical="center"/>
    </xf>
    <xf numFmtId="169" fontId="46" fillId="0" borderId="20" xfId="3" applyNumberFormat="1" applyFont="1" applyBorder="1" applyAlignment="1">
      <alignment horizontal="center" vertical="center"/>
    </xf>
    <xf numFmtId="169" fontId="46" fillId="0" borderId="58" xfId="3" applyNumberFormat="1" applyFont="1" applyBorder="1" applyAlignment="1">
      <alignment horizontal="center" vertical="center"/>
    </xf>
    <xf numFmtId="169" fontId="46" fillId="0" borderId="59" xfId="3" applyNumberFormat="1" applyFont="1" applyBorder="1" applyAlignment="1">
      <alignment horizontal="center" vertical="center"/>
    </xf>
    <xf numFmtId="0" fontId="45" fillId="0" borderId="88" xfId="3" applyFont="1" applyBorder="1" applyAlignment="1">
      <alignment horizontal="center" vertical="center"/>
    </xf>
    <xf numFmtId="0" fontId="45" fillId="0" borderId="6" xfId="3" applyFont="1" applyBorder="1" applyAlignment="1">
      <alignment horizontal="center" vertical="center"/>
    </xf>
    <xf numFmtId="0" fontId="10" fillId="0" borderId="20" xfId="3" applyFont="1" applyBorder="1" applyAlignment="1">
      <alignment horizontal="center" vertical="center"/>
    </xf>
    <xf numFmtId="3" fontId="17" fillId="0" borderId="0" xfId="3" applyNumberFormat="1" applyFont="1" applyAlignment="1">
      <alignment horizontal="center" vertical="center" wrapText="1"/>
    </xf>
    <xf numFmtId="3" fontId="17" fillId="0" borderId="0" xfId="3" applyNumberFormat="1" applyFont="1" applyAlignment="1" applyProtection="1">
      <alignment horizontal="left" vertical="center"/>
      <protection locked="0"/>
    </xf>
    <xf numFmtId="3" fontId="17" fillId="0" borderId="0" xfId="3" applyNumberFormat="1" applyFont="1" applyAlignment="1" applyProtection="1">
      <alignment horizontal="center" vertical="center"/>
      <protection locked="0"/>
    </xf>
    <xf numFmtId="0" fontId="10" fillId="0" borderId="89" xfId="3" applyFont="1" applyBorder="1" applyAlignment="1">
      <alignment horizontal="center" vertical="center"/>
    </xf>
    <xf numFmtId="0" fontId="10" fillId="0" borderId="90" xfId="3" applyFont="1" applyBorder="1" applyAlignment="1">
      <alignment horizontal="center" vertical="center"/>
    </xf>
    <xf numFmtId="0" fontId="10" fillId="0" borderId="91" xfId="3" applyFont="1" applyBorder="1" applyAlignment="1">
      <alignment horizontal="center" vertical="center"/>
    </xf>
    <xf numFmtId="0" fontId="17" fillId="0" borderId="89" xfId="3" applyFont="1" applyBorder="1" applyAlignment="1" applyProtection="1">
      <alignment horizontal="center" vertical="center"/>
      <protection locked="0"/>
    </xf>
    <xf numFmtId="0" fontId="17" fillId="0" borderId="90" xfId="3" applyFont="1" applyBorder="1" applyAlignment="1" applyProtection="1">
      <alignment horizontal="center" vertical="center"/>
      <protection locked="0"/>
    </xf>
    <xf numFmtId="0" fontId="17" fillId="0" borderId="91" xfId="3" applyFont="1" applyBorder="1" applyAlignment="1" applyProtection="1">
      <alignment horizontal="center" vertical="center"/>
      <protection locked="0"/>
    </xf>
    <xf numFmtId="0" fontId="20" fillId="0" borderId="29" xfId="3" applyFont="1" applyBorder="1" applyAlignment="1">
      <alignment horizontal="left" vertical="center" wrapText="1"/>
    </xf>
    <xf numFmtId="0" fontId="20" fillId="0" borderId="0" xfId="3" applyFont="1" applyAlignment="1">
      <alignment horizontal="left" vertical="center" wrapText="1"/>
    </xf>
    <xf numFmtId="0" fontId="20" fillId="0" borderId="36" xfId="3" applyFont="1" applyBorder="1" applyAlignment="1">
      <alignment horizontal="left" vertical="center" wrapText="1"/>
    </xf>
    <xf numFmtId="0" fontId="20" fillId="0" borderId="37" xfId="3" applyFont="1" applyBorder="1" applyAlignment="1">
      <alignment horizontal="left" vertical="center" wrapText="1"/>
    </xf>
    <xf numFmtId="0" fontId="10" fillId="2" borderId="108" xfId="3" applyFont="1" applyFill="1" applyBorder="1" applyAlignment="1">
      <alignment horizontal="center" vertical="center"/>
    </xf>
    <xf numFmtId="0" fontId="10" fillId="0" borderId="7" xfId="3" applyFont="1" applyBorder="1" applyAlignment="1">
      <alignment horizontal="center" vertical="center"/>
    </xf>
    <xf numFmtId="0" fontId="10" fillId="0" borderId="8" xfId="3" applyFont="1" applyBorder="1" applyAlignment="1">
      <alignment horizontal="center" vertical="center"/>
    </xf>
    <xf numFmtId="0" fontId="10" fillId="0" borderId="9" xfId="3" applyFont="1" applyBorder="1" applyAlignment="1">
      <alignment horizontal="center" vertical="center"/>
    </xf>
    <xf numFmtId="0" fontId="17" fillId="0" borderId="7" xfId="3" applyFont="1" applyBorder="1" applyAlignment="1" applyProtection="1">
      <alignment horizontal="center" vertical="center"/>
      <protection locked="0"/>
    </xf>
    <xf numFmtId="0" fontId="17" fillId="0" borderId="8" xfId="3" applyFont="1" applyBorder="1" applyAlignment="1" applyProtection="1">
      <alignment horizontal="center" vertical="center"/>
      <protection locked="0"/>
    </xf>
    <xf numFmtId="0" fontId="17" fillId="0" borderId="9" xfId="3" applyFont="1" applyBorder="1" applyAlignment="1" applyProtection="1">
      <alignment horizontal="center" vertical="center"/>
      <protection locked="0"/>
    </xf>
    <xf numFmtId="0" fontId="10" fillId="0" borderId="99" xfId="3" applyFont="1" applyBorder="1" applyAlignment="1">
      <alignment horizontal="center" vertical="center"/>
    </xf>
    <xf numFmtId="0" fontId="10" fillId="0" borderId="115" xfId="3" applyFont="1" applyBorder="1" applyAlignment="1">
      <alignment horizontal="center" vertical="center"/>
    </xf>
    <xf numFmtId="0" fontId="10" fillId="0" borderId="100" xfId="3" applyFont="1" applyBorder="1" applyAlignment="1">
      <alignment horizontal="center" vertical="center"/>
    </xf>
    <xf numFmtId="0" fontId="10" fillId="0" borderId="58" xfId="3" applyFont="1" applyBorder="1" applyAlignment="1">
      <alignment horizontal="center" vertical="center"/>
    </xf>
    <xf numFmtId="0" fontId="10" fillId="0" borderId="59" xfId="3" applyFont="1" applyBorder="1" applyAlignment="1">
      <alignment horizontal="center" vertical="center"/>
    </xf>
    <xf numFmtId="0" fontId="10" fillId="0" borderId="128" xfId="3" applyFont="1" applyBorder="1" applyAlignment="1">
      <alignment horizontal="center" vertical="center"/>
    </xf>
    <xf numFmtId="0" fontId="17" fillId="0" borderId="99" xfId="3" applyFont="1" applyBorder="1" applyAlignment="1">
      <alignment horizontal="center" vertical="center"/>
    </xf>
    <xf numFmtId="0" fontId="17" fillId="0" borderId="115" xfId="3" applyFont="1" applyBorder="1" applyAlignment="1">
      <alignment horizontal="center" vertical="center"/>
    </xf>
    <xf numFmtId="0" fontId="17" fillId="0" borderId="99" xfId="3" applyFont="1" applyBorder="1" applyAlignment="1">
      <alignment horizontal="center" vertical="top"/>
    </xf>
    <xf numFmtId="0" fontId="17" fillId="0" borderId="115" xfId="3" applyFont="1" applyBorder="1" applyAlignment="1">
      <alignment horizontal="center" vertical="top"/>
    </xf>
    <xf numFmtId="0" fontId="17" fillId="0" borderId="100" xfId="3" applyFont="1" applyBorder="1" applyAlignment="1">
      <alignment horizontal="center" vertical="top"/>
    </xf>
    <xf numFmtId="0" fontId="17" fillId="0" borderId="89" xfId="3" applyFont="1" applyBorder="1" applyAlignment="1" applyProtection="1">
      <alignment horizontal="center" vertical="top"/>
      <protection locked="0"/>
    </xf>
    <xf numFmtId="0" fontId="17" fillId="0" borderId="90" xfId="3" applyFont="1" applyBorder="1" applyAlignment="1" applyProtection="1">
      <alignment horizontal="center" vertical="top"/>
      <protection locked="0"/>
    </xf>
    <xf numFmtId="0" fontId="17" fillId="0" borderId="91" xfId="3" applyFont="1" applyBorder="1" applyAlignment="1" applyProtection="1">
      <alignment horizontal="center" vertical="top"/>
      <protection locked="0"/>
    </xf>
    <xf numFmtId="0" fontId="10" fillId="2" borderId="110" xfId="3" applyFont="1" applyFill="1" applyBorder="1" applyAlignment="1">
      <alignment horizontal="center" vertical="center"/>
    </xf>
    <xf numFmtId="0" fontId="17" fillId="0" borderId="7" xfId="3" applyFont="1" applyBorder="1" applyAlignment="1" applyProtection="1">
      <alignment horizontal="center" vertical="top"/>
      <protection locked="0"/>
    </xf>
    <xf numFmtId="0" fontId="17" fillId="0" borderId="8" xfId="3" applyFont="1" applyBorder="1" applyAlignment="1" applyProtection="1">
      <alignment horizontal="center" vertical="top"/>
      <protection locked="0"/>
    </xf>
    <xf numFmtId="0" fontId="17" fillId="0" borderId="9" xfId="3" applyFont="1" applyBorder="1" applyAlignment="1" applyProtection="1">
      <alignment horizontal="center" vertical="top"/>
      <protection locked="0"/>
    </xf>
    <xf numFmtId="0" fontId="32" fillId="2" borderId="1" xfId="3" applyFont="1" applyFill="1" applyBorder="1" applyAlignment="1">
      <alignment horizontal="center" vertical="top"/>
    </xf>
    <xf numFmtId="0" fontId="32" fillId="2" borderId="2" xfId="3" applyFont="1" applyFill="1" applyBorder="1" applyAlignment="1">
      <alignment horizontal="center" vertical="top"/>
    </xf>
    <xf numFmtId="0" fontId="32" fillId="2" borderId="3" xfId="3" applyFont="1" applyFill="1" applyBorder="1" applyAlignment="1">
      <alignment horizontal="center" vertical="top"/>
    </xf>
    <xf numFmtId="0" fontId="32" fillId="2" borderId="87" xfId="3" applyFont="1" applyFill="1" applyBorder="1" applyAlignment="1">
      <alignment horizontal="center" vertical="top"/>
    </xf>
    <xf numFmtId="0" fontId="10" fillId="10" borderId="3" xfId="3" applyFont="1" applyFill="1" applyBorder="1" applyAlignment="1">
      <alignment horizontal="center" vertical="center"/>
    </xf>
    <xf numFmtId="0" fontId="10" fillId="10" borderId="87" xfId="3" applyFont="1" applyFill="1" applyBorder="1" applyAlignment="1">
      <alignment horizontal="center" vertical="center"/>
    </xf>
    <xf numFmtId="0" fontId="10" fillId="0" borderId="88" xfId="3" applyFont="1" applyBorder="1" applyAlignment="1">
      <alignment horizontal="center" vertical="center"/>
    </xf>
    <xf numFmtId="0" fontId="10" fillId="0" borderId="5" xfId="3" applyFont="1" applyBorder="1" applyAlignment="1">
      <alignment horizontal="center" vertical="center"/>
    </xf>
    <xf numFmtId="0" fontId="10" fillId="0" borderId="6" xfId="3" applyFont="1" applyBorder="1" applyAlignment="1">
      <alignment horizontal="center" vertical="center"/>
    </xf>
    <xf numFmtId="0" fontId="10" fillId="0" borderId="104" xfId="3" applyFont="1" applyBorder="1" applyAlignment="1">
      <alignment horizontal="center" vertical="center"/>
    </xf>
    <xf numFmtId="0" fontId="17" fillId="0" borderId="88" xfId="3" applyFont="1" applyBorder="1" applyAlignment="1" applyProtection="1">
      <alignment horizontal="center" vertical="center"/>
      <protection locked="0"/>
    </xf>
    <xf numFmtId="0" fontId="17" fillId="0" borderId="5" xfId="3" applyFont="1" applyBorder="1" applyAlignment="1" applyProtection="1">
      <alignment horizontal="center" vertical="center"/>
      <protection locked="0"/>
    </xf>
    <xf numFmtId="0" fontId="17" fillId="0" borderId="6" xfId="3" applyFont="1" applyBorder="1" applyAlignment="1" applyProtection="1">
      <alignment horizontal="center" vertical="center"/>
      <protection locked="0"/>
    </xf>
    <xf numFmtId="0" fontId="17" fillId="0" borderId="89" xfId="3" applyFont="1" applyBorder="1" applyAlignment="1">
      <alignment horizontal="center" vertical="center"/>
    </xf>
    <xf numFmtId="0" fontId="17" fillId="0" borderId="90" xfId="3" applyFont="1" applyBorder="1" applyAlignment="1">
      <alignment horizontal="center" vertical="center"/>
    </xf>
    <xf numFmtId="0" fontId="17" fillId="0" borderId="89" xfId="3" applyFont="1" applyBorder="1" applyAlignment="1">
      <alignment horizontal="center" vertical="top"/>
    </xf>
    <xf numFmtId="0" fontId="17" fillId="0" borderId="90" xfId="3" applyFont="1" applyBorder="1" applyAlignment="1">
      <alignment horizontal="center" vertical="top"/>
    </xf>
    <xf numFmtId="0" fontId="17" fillId="0" borderId="91" xfId="3" applyFont="1" applyBorder="1" applyAlignment="1">
      <alignment horizontal="center" vertical="top"/>
    </xf>
    <xf numFmtId="0" fontId="17" fillId="0" borderId="88" xfId="3" applyFont="1" applyBorder="1" applyAlignment="1">
      <alignment horizontal="center" vertical="center"/>
    </xf>
    <xf numFmtId="0" fontId="17" fillId="0" borderId="5" xfId="3" applyFont="1" applyBorder="1" applyAlignment="1">
      <alignment horizontal="center" vertical="center"/>
    </xf>
    <xf numFmtId="0" fontId="17" fillId="0" borderId="88" xfId="3" applyFont="1" applyBorder="1" applyAlignment="1">
      <alignment horizontal="center" vertical="top"/>
    </xf>
    <xf numFmtId="0" fontId="17" fillId="0" borderId="5" xfId="3" applyFont="1" applyBorder="1" applyAlignment="1">
      <alignment horizontal="center" vertical="top"/>
    </xf>
    <xf numFmtId="0" fontId="17" fillId="0" borderId="6" xfId="3" applyFont="1" applyBorder="1" applyAlignment="1">
      <alignment horizontal="center" vertical="top"/>
    </xf>
    <xf numFmtId="0" fontId="17" fillId="0" borderId="88" xfId="3" applyFont="1" applyBorder="1" applyAlignment="1" applyProtection="1">
      <alignment horizontal="center" vertical="top"/>
      <protection locked="0"/>
    </xf>
    <xf numFmtId="0" fontId="17" fillId="0" borderId="5" xfId="3" applyFont="1" applyBorder="1" applyAlignment="1" applyProtection="1">
      <alignment horizontal="center" vertical="top"/>
      <protection locked="0"/>
    </xf>
    <xf numFmtId="0" fontId="17" fillId="0" borderId="6" xfId="3" applyFont="1" applyBorder="1" applyAlignment="1" applyProtection="1">
      <alignment horizontal="center" vertical="top"/>
      <protection locked="0"/>
    </xf>
    <xf numFmtId="0" fontId="10" fillId="5" borderId="1" xfId="3" applyFont="1" applyFill="1" applyBorder="1" applyAlignment="1">
      <alignment horizontal="center" vertical="center"/>
    </xf>
    <xf numFmtId="0" fontId="10" fillId="5" borderId="2" xfId="3" applyFont="1" applyFill="1" applyBorder="1" applyAlignment="1">
      <alignment horizontal="center" vertical="center"/>
    </xf>
    <xf numFmtId="0" fontId="10" fillId="5" borderId="3" xfId="3" applyFont="1" applyFill="1" applyBorder="1" applyAlignment="1">
      <alignment horizontal="center" vertical="center"/>
    </xf>
    <xf numFmtId="0" fontId="32" fillId="2" borderId="4" xfId="3" applyFont="1" applyFill="1" applyBorder="1" applyAlignment="1">
      <alignment horizontal="center" vertical="center"/>
    </xf>
    <xf numFmtId="0" fontId="32" fillId="2" borderId="21" xfId="3" applyFont="1" applyFill="1" applyBorder="1" applyAlignment="1">
      <alignment horizontal="center" vertical="center"/>
    </xf>
    <xf numFmtId="0" fontId="32" fillId="2" borderId="36" xfId="3" applyFont="1" applyFill="1" applyBorder="1" applyAlignment="1">
      <alignment horizontal="center" vertical="center"/>
    </xf>
    <xf numFmtId="0" fontId="32" fillId="2" borderId="38" xfId="3" applyFont="1" applyFill="1" applyBorder="1" applyAlignment="1">
      <alignment horizontal="center" vertical="center"/>
    </xf>
    <xf numFmtId="0" fontId="32" fillId="10" borderId="1" xfId="3" applyFont="1" applyFill="1" applyBorder="1" applyAlignment="1">
      <alignment horizontal="center" vertical="top"/>
    </xf>
    <xf numFmtId="0" fontId="32" fillId="10" borderId="2" xfId="3" applyFont="1" applyFill="1" applyBorder="1" applyAlignment="1">
      <alignment horizontal="center" vertical="top"/>
    </xf>
    <xf numFmtId="0" fontId="32" fillId="10" borderId="3" xfId="3" applyFont="1" applyFill="1" applyBorder="1" applyAlignment="1">
      <alignment horizontal="center" vertical="top"/>
    </xf>
    <xf numFmtId="0" fontId="10" fillId="3" borderId="29" xfId="3" applyFont="1" applyFill="1" applyBorder="1" applyAlignment="1">
      <alignment horizontal="center" vertical="center"/>
    </xf>
    <xf numFmtId="0" fontId="10" fillId="3" borderId="0" xfId="3" applyFont="1" applyFill="1" applyAlignment="1">
      <alignment horizontal="center" vertical="center"/>
    </xf>
    <xf numFmtId="0" fontId="10" fillId="3" borderId="20" xfId="3" applyFont="1" applyFill="1" applyBorder="1" applyAlignment="1">
      <alignment horizontal="center" vertical="center"/>
    </xf>
    <xf numFmtId="0" fontId="2" fillId="8" borderId="1" xfId="3" applyFont="1" applyFill="1" applyBorder="1" applyAlignment="1">
      <alignment horizontal="center" vertical="center"/>
    </xf>
    <xf numFmtId="0" fontId="2" fillId="8" borderId="2" xfId="3" applyFont="1" applyFill="1" applyBorder="1" applyAlignment="1">
      <alignment horizontal="center" vertical="center"/>
    </xf>
    <xf numFmtId="0" fontId="2" fillId="8" borderId="3" xfId="3" applyFont="1" applyFill="1" applyBorder="1" applyAlignment="1">
      <alignment horizontal="center" vertical="center"/>
    </xf>
    <xf numFmtId="4" fontId="19" fillId="0" borderId="87" xfId="3" applyNumberFormat="1" applyFont="1" applyBorder="1" applyAlignment="1">
      <alignment horizontal="center" vertical="center"/>
    </xf>
    <xf numFmtId="2" fontId="17" fillId="0" borderId="2" xfId="3" applyNumberFormat="1" applyFont="1" applyBorder="1" applyAlignment="1">
      <alignment horizontal="center" vertical="center"/>
    </xf>
    <xf numFmtId="4" fontId="19" fillId="0" borderId="1" xfId="3" applyNumberFormat="1" applyFont="1" applyBorder="1" applyAlignment="1">
      <alignment horizontal="center" vertical="center"/>
    </xf>
    <xf numFmtId="4" fontId="19" fillId="0" borderId="2" xfId="3" applyNumberFormat="1" applyFont="1" applyBorder="1" applyAlignment="1">
      <alignment horizontal="center" vertical="center"/>
    </xf>
    <xf numFmtId="4" fontId="19" fillId="0" borderId="3" xfId="3" applyNumberFormat="1" applyFont="1" applyBorder="1" applyAlignment="1">
      <alignment horizontal="center" vertical="center"/>
    </xf>
    <xf numFmtId="0" fontId="10" fillId="0" borderId="29" xfId="3" applyFont="1" applyBorder="1" applyAlignment="1">
      <alignment horizontal="center" vertical="center"/>
    </xf>
    <xf numFmtId="0" fontId="10" fillId="0" borderId="36" xfId="3" applyFont="1" applyBorder="1" applyAlignment="1">
      <alignment horizontal="center" vertical="center"/>
    </xf>
    <xf numFmtId="0" fontId="10" fillId="0" borderId="37" xfId="3" applyFont="1" applyBorder="1" applyAlignment="1">
      <alignment horizontal="center" vertical="center"/>
    </xf>
    <xf numFmtId="0" fontId="10" fillId="0" borderId="38" xfId="3" applyFont="1" applyBorder="1" applyAlignment="1">
      <alignment horizontal="center" vertical="center"/>
    </xf>
    <xf numFmtId="0" fontId="10" fillId="2" borderId="4" xfId="3" applyFont="1" applyFill="1" applyBorder="1" applyAlignment="1">
      <alignment horizontal="center" vertical="center" wrapText="1"/>
    </xf>
    <xf numFmtId="0" fontId="10" fillId="2" borderId="13" xfId="3" applyFont="1" applyFill="1" applyBorder="1" applyAlignment="1">
      <alignment horizontal="center" vertical="center" wrapText="1"/>
    </xf>
    <xf numFmtId="0" fontId="10" fillId="2" borderId="21" xfId="3" applyFont="1" applyFill="1" applyBorder="1" applyAlignment="1">
      <alignment horizontal="center" vertical="center" wrapText="1"/>
    </xf>
    <xf numFmtId="0" fontId="10" fillId="2" borderId="36" xfId="3" applyFont="1" applyFill="1" applyBorder="1" applyAlignment="1">
      <alignment horizontal="center" vertical="center" wrapText="1"/>
    </xf>
    <xf numFmtId="0" fontId="10" fillId="2" borderId="37" xfId="3" applyFont="1" applyFill="1" applyBorder="1" applyAlignment="1">
      <alignment horizontal="center" vertical="center" wrapText="1"/>
    </xf>
    <xf numFmtId="0" fontId="10" fillId="2" borderId="38" xfId="3" applyFont="1" applyFill="1" applyBorder="1" applyAlignment="1">
      <alignment horizontal="center" vertical="center" wrapText="1"/>
    </xf>
    <xf numFmtId="0" fontId="10" fillId="0" borderId="99" xfId="3" applyFont="1" applyBorder="1" applyAlignment="1" applyProtection="1">
      <alignment horizontal="center" vertical="center"/>
      <protection locked="0"/>
    </xf>
    <xf numFmtId="0" fontId="10" fillId="0" borderId="100" xfId="3" applyFont="1" applyBorder="1" applyAlignment="1" applyProtection="1">
      <alignment horizontal="center" vertical="center"/>
      <protection locked="0"/>
    </xf>
    <xf numFmtId="0" fontId="10" fillId="0" borderId="20" xfId="3" applyFont="1" applyBorder="1" applyAlignment="1" applyProtection="1">
      <alignment horizontal="center" vertical="center"/>
      <protection locked="0"/>
    </xf>
    <xf numFmtId="0" fontId="10" fillId="0" borderId="58" xfId="3" applyFont="1" applyBorder="1" applyAlignment="1" applyProtection="1">
      <alignment horizontal="center" vertical="center"/>
      <protection locked="0"/>
    </xf>
    <xf numFmtId="0" fontId="10" fillId="0" borderId="128" xfId="3" applyFont="1" applyBorder="1" applyAlignment="1" applyProtection="1">
      <alignment horizontal="center" vertical="center"/>
      <protection locked="0"/>
    </xf>
    <xf numFmtId="0" fontId="10" fillId="0" borderId="1" xfId="3" applyFont="1" applyBorder="1" applyAlignment="1">
      <alignment horizontal="center" vertical="center"/>
    </xf>
    <xf numFmtId="0" fontId="10" fillId="0" borderId="3" xfId="3" applyFont="1" applyBorder="1" applyAlignment="1">
      <alignment horizontal="center" vertical="center"/>
    </xf>
    <xf numFmtId="0" fontId="11" fillId="0" borderId="3" xfId="3" applyFont="1" applyBorder="1" applyAlignment="1">
      <alignment horizontal="center" vertical="center"/>
    </xf>
    <xf numFmtId="0" fontId="50" fillId="0" borderId="4" xfId="3" applyFont="1" applyBorder="1" applyAlignment="1">
      <alignment horizontal="center" vertical="center"/>
    </xf>
    <xf numFmtId="0" fontId="50" fillId="0" borderId="13" xfId="3" applyFont="1" applyBorder="1" applyAlignment="1">
      <alignment horizontal="center" vertical="center"/>
    </xf>
    <xf numFmtId="0" fontId="50" fillId="0" borderId="21" xfId="3" applyFont="1" applyBorder="1" applyAlignment="1">
      <alignment horizontal="center" vertical="center"/>
    </xf>
    <xf numFmtId="0" fontId="50" fillId="0" borderId="36" xfId="3" applyFont="1" applyBorder="1" applyAlignment="1">
      <alignment horizontal="center" vertical="center"/>
    </xf>
    <xf numFmtId="0" fontId="50" fillId="0" borderId="37" xfId="3" applyFont="1" applyBorder="1" applyAlignment="1">
      <alignment horizontal="center" vertical="center"/>
    </xf>
    <xf numFmtId="0" fontId="50" fillId="0" borderId="38" xfId="3" applyFont="1" applyBorder="1" applyAlignment="1">
      <alignment horizontal="center" vertical="center"/>
    </xf>
    <xf numFmtId="0" fontId="50" fillId="12" borderId="0" xfId="3" applyFont="1" applyFill="1" applyAlignment="1" applyProtection="1">
      <alignment horizontal="center" vertical="center"/>
      <protection locked="0"/>
    </xf>
    <xf numFmtId="0" fontId="54" fillId="0" borderId="0" xfId="3" applyFont="1" applyAlignment="1">
      <alignment horizontal="left" vertical="center"/>
    </xf>
    <xf numFmtId="0" fontId="33" fillId="0" borderId="0" xfId="3" applyFont="1" applyAlignment="1">
      <alignment horizontal="center" vertical="center"/>
    </xf>
    <xf numFmtId="0" fontId="33" fillId="6" borderId="0" xfId="3" applyFont="1" applyFill="1" applyAlignment="1" applyProtection="1">
      <alignment horizontal="center" vertical="center"/>
      <protection locked="0"/>
    </xf>
    <xf numFmtId="0" fontId="55" fillId="13" borderId="4" xfId="3" applyFont="1" applyFill="1" applyBorder="1" applyAlignment="1">
      <alignment horizontal="center" vertical="center"/>
    </xf>
    <xf numFmtId="0" fontId="55" fillId="13" borderId="13" xfId="3" applyFont="1" applyFill="1" applyBorder="1" applyAlignment="1">
      <alignment horizontal="center" vertical="center"/>
    </xf>
    <xf numFmtId="0" fontId="55" fillId="13" borderId="21" xfId="3" applyFont="1" applyFill="1" applyBorder="1" applyAlignment="1">
      <alignment horizontal="center" vertical="center"/>
    </xf>
    <xf numFmtId="0" fontId="55" fillId="13" borderId="36" xfId="3" applyFont="1" applyFill="1" applyBorder="1" applyAlignment="1">
      <alignment horizontal="center" vertical="center"/>
    </xf>
    <xf numFmtId="0" fontId="55" fillId="13" borderId="37" xfId="3" applyFont="1" applyFill="1" applyBorder="1" applyAlignment="1">
      <alignment horizontal="center" vertical="center"/>
    </xf>
    <xf numFmtId="0" fontId="55" fillId="13" borderId="38" xfId="3" applyFont="1" applyFill="1" applyBorder="1" applyAlignment="1">
      <alignment horizontal="center" vertical="center"/>
    </xf>
    <xf numFmtId="0" fontId="50" fillId="0" borderId="0" xfId="3" applyFont="1" applyAlignment="1">
      <alignment horizontal="left" vertical="center"/>
    </xf>
    <xf numFmtId="0" fontId="50" fillId="6" borderId="0" xfId="3" applyFont="1" applyFill="1" applyAlignment="1" applyProtection="1">
      <alignment horizontal="center" vertical="center"/>
      <protection locked="0"/>
    </xf>
    <xf numFmtId="0" fontId="51" fillId="0" borderId="0" xfId="3" applyFont="1" applyAlignment="1">
      <alignment horizontal="center" vertical="center"/>
    </xf>
    <xf numFmtId="0" fontId="52" fillId="0" borderId="4" xfId="3" applyFont="1" applyBorder="1" applyAlignment="1">
      <alignment horizontal="center" vertical="center"/>
    </xf>
    <xf numFmtId="0" fontId="52" fillId="0" borderId="13" xfId="3" applyFont="1" applyBorder="1" applyAlignment="1">
      <alignment horizontal="center" vertical="center"/>
    </xf>
    <xf numFmtId="0" fontId="52" fillId="0" borderId="21" xfId="3" applyFont="1" applyBorder="1" applyAlignment="1">
      <alignment horizontal="center" vertical="center"/>
    </xf>
    <xf numFmtId="0" fontId="52" fillId="0" borderId="36" xfId="3" applyFont="1" applyBorder="1" applyAlignment="1">
      <alignment horizontal="center" vertical="center"/>
    </xf>
    <xf numFmtId="0" fontId="52" fillId="0" borderId="37" xfId="3" applyFont="1" applyBorder="1" applyAlignment="1">
      <alignment horizontal="center" vertical="center"/>
    </xf>
    <xf numFmtId="0" fontId="52" fillId="0" borderId="38" xfId="3" applyFont="1" applyBorder="1" applyAlignment="1">
      <alignment horizontal="center" vertical="center"/>
    </xf>
    <xf numFmtId="0" fontId="33" fillId="0" borderId="1" xfId="3" applyFont="1" applyBorder="1" applyAlignment="1">
      <alignment horizontal="center" vertical="center"/>
    </xf>
    <xf numFmtId="0" fontId="33" fillId="0" borderId="2" xfId="3" applyFont="1" applyBorder="1" applyAlignment="1">
      <alignment horizontal="center" vertical="center"/>
    </xf>
    <xf numFmtId="0" fontId="33" fillId="0" borderId="3" xfId="3" applyFont="1" applyBorder="1" applyAlignment="1">
      <alignment horizontal="center" vertical="center"/>
    </xf>
    <xf numFmtId="0" fontId="50" fillId="11" borderId="0" xfId="3" quotePrefix="1" applyFont="1" applyFill="1" applyAlignment="1">
      <alignment horizontal="center" vertical="center"/>
    </xf>
    <xf numFmtId="0" fontId="12" fillId="0" borderId="0" xfId="3" applyFont="1" applyBorder="1" applyAlignment="1">
      <alignment vertical="center"/>
    </xf>
    <xf numFmtId="0" fontId="33" fillId="0" borderId="0" xfId="3" applyFont="1" applyBorder="1" applyAlignment="1">
      <alignment vertical="center"/>
    </xf>
    <xf numFmtId="0" fontId="10" fillId="0" borderId="0" xfId="3" applyFont="1" applyBorder="1" applyAlignment="1">
      <alignment horizontal="left" vertical="center"/>
    </xf>
    <xf numFmtId="0" fontId="10" fillId="0" borderId="0" xfId="3" applyFont="1" applyBorder="1" applyAlignment="1">
      <alignment horizontal="center" vertical="center"/>
    </xf>
    <xf numFmtId="0" fontId="10" fillId="0" borderId="0" xfId="3" applyFont="1" applyBorder="1" applyAlignment="1">
      <alignment horizontal="right" vertical="center"/>
    </xf>
    <xf numFmtId="0" fontId="17" fillId="0" borderId="0" xfId="3" applyFont="1" applyBorder="1" applyAlignment="1">
      <alignment horizontal="left" vertical="center"/>
    </xf>
    <xf numFmtId="2" fontId="76" fillId="0" borderId="0" xfId="3" applyNumberFormat="1" applyFont="1" applyBorder="1" applyAlignment="1" applyProtection="1">
      <alignment vertical="center"/>
      <protection locked="0"/>
    </xf>
  </cellXfs>
  <cellStyles count="6">
    <cellStyle name="Comma [0] 2" xfId="1" xr:uid="{E1F6D7D9-B1C8-47A0-8955-3E412091D544}"/>
    <cellStyle name="Hyperlink" xfId="2" builtinId="8"/>
    <cellStyle name="Normal" xfId="0" builtinId="0"/>
    <cellStyle name="Normal 2" xfId="3" xr:uid="{67569A6E-7AC3-492C-99DB-13675B6062ED}"/>
    <cellStyle name="Normal 2 2" xfId="4" xr:uid="{01F21467-60F7-4E17-8870-7A7F0BC39094}"/>
    <cellStyle name="Percent 2" xfId="5" xr:uid="{DA5B3436-34E2-49A9-86E4-B98DF8EE0B67}"/>
  </cellStyles>
  <dxfs count="44"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strike val="0"/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strike val="0"/>
        <color theme="0"/>
      </font>
      <fill>
        <patternFill>
          <bgColor rgb="FFFF0000"/>
        </patternFill>
      </fill>
    </dxf>
    <dxf>
      <font>
        <b/>
        <i val="0"/>
        <strike val="0"/>
        <color theme="0"/>
      </font>
      <fill>
        <patternFill>
          <bgColor rgb="FFFF0000"/>
        </patternFill>
      </fill>
    </dxf>
    <dxf>
      <font>
        <b/>
        <i val="0"/>
        <strike val="0"/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b/>
        <i val="0"/>
        <strike val="0"/>
        <color theme="0"/>
      </font>
      <fill>
        <patternFill>
          <bgColor rgb="FFFF0000"/>
        </patternFill>
      </fill>
    </dxf>
    <dxf>
      <font>
        <b/>
        <i val="0"/>
        <strike val="0"/>
        <color theme="0"/>
      </font>
      <fill>
        <patternFill>
          <bgColor rgb="FFFF0000"/>
        </patternFill>
      </fill>
    </dxf>
    <dxf>
      <font>
        <b/>
        <i val="0"/>
        <strike val="0"/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6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png"/><Relationship Id="rId2" Type="http://schemas.openxmlformats.org/officeDocument/2006/relationships/image" Target="../media/image9.png"/><Relationship Id="rId1" Type="http://schemas.openxmlformats.org/officeDocument/2006/relationships/image" Target="../media/image8.png"/><Relationship Id="rId4" Type="http://schemas.openxmlformats.org/officeDocument/2006/relationships/image" Target="../media/image1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1905</xdr:colOff>
      <xdr:row>13</xdr:row>
      <xdr:rowOff>16134</xdr:rowOff>
    </xdr:from>
    <xdr:to>
      <xdr:col>15</xdr:col>
      <xdr:colOff>626745</xdr:colOff>
      <xdr:row>26</xdr:row>
      <xdr:rowOff>1904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1183A714-6896-460B-8D8B-BD288E611867}"/>
            </a:ext>
          </a:extLst>
        </xdr:cNvPr>
        <xdr:cNvSpPr>
          <a:spLocks noChangeArrowheads="1"/>
        </xdr:cNvSpPr>
      </xdr:nvSpPr>
      <xdr:spPr bwMode="auto">
        <a:xfrm>
          <a:off x="1297305" y="2286894"/>
          <a:ext cx="9044940" cy="3033770"/>
        </a:xfrm>
        <a:prstGeom prst="rect">
          <a:avLst/>
        </a:prstGeom>
        <a:noFill/>
        <a:ln w="222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endParaRPr lang="en-US" sz="2000" b="1" i="0" u="none" strike="noStrike" baseline="0">
            <a:solidFill>
              <a:schemeClr val="tx1"/>
            </a:solidFill>
            <a:latin typeface="Tw Cen MT" pitchFamily="34" charset="0"/>
            <a:cs typeface="Arial"/>
          </a:endParaRPr>
        </a:p>
      </xdr:txBody>
    </xdr:sp>
    <xdr:clientData/>
  </xdr:twoCellAnchor>
  <xdr:twoCellAnchor>
    <xdr:from>
      <xdr:col>2</xdr:col>
      <xdr:colOff>64770</xdr:colOff>
      <xdr:row>13</xdr:row>
      <xdr:rowOff>120015</xdr:rowOff>
    </xdr:from>
    <xdr:to>
      <xdr:col>16</xdr:col>
      <xdr:colOff>64770</xdr:colOff>
      <xdr:row>26</xdr:row>
      <xdr:rowOff>120015</xdr:rowOff>
    </xdr:to>
    <xdr:sp macro="" textlink="">
      <xdr:nvSpPr>
        <xdr:cNvPr id="3" name="Freeform: Shape 2">
          <a:extLst>
            <a:ext uri="{FF2B5EF4-FFF2-40B4-BE49-F238E27FC236}">
              <a16:creationId xmlns:a16="http://schemas.microsoft.com/office/drawing/2014/main" id="{F54B5F9F-D487-43F4-9365-CC4BE0EFB5B9}"/>
            </a:ext>
          </a:extLst>
        </xdr:cNvPr>
        <xdr:cNvSpPr/>
      </xdr:nvSpPr>
      <xdr:spPr>
        <a:xfrm>
          <a:off x="1360170" y="2390775"/>
          <a:ext cx="9067800" cy="3048000"/>
        </a:xfrm>
        <a:custGeom>
          <a:avLst/>
          <a:gdLst>
            <a:gd name="connsiteX0" fmla="*/ 8983980 w 9062085"/>
            <a:gd name="connsiteY0" fmla="*/ 0 h 3095625"/>
            <a:gd name="connsiteX1" fmla="*/ 9062085 w 9062085"/>
            <a:gd name="connsiteY1" fmla="*/ 0 h 3095625"/>
            <a:gd name="connsiteX2" fmla="*/ 9062085 w 9062085"/>
            <a:gd name="connsiteY2" fmla="*/ 3095625 h 3095625"/>
            <a:gd name="connsiteX3" fmla="*/ 0 w 9062085"/>
            <a:gd name="connsiteY3" fmla="*/ 3095625 h 3095625"/>
            <a:gd name="connsiteX4" fmla="*/ 0 w 9062085"/>
            <a:gd name="connsiteY4" fmla="*/ 2985135 h 3095625"/>
            <a:gd name="connsiteX5" fmla="*/ 8983980 w 9062085"/>
            <a:gd name="connsiteY5" fmla="*/ 2985135 h 309562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9062085" h="3095625">
              <a:moveTo>
                <a:pt x="8983980" y="0"/>
              </a:moveTo>
              <a:lnTo>
                <a:pt x="9062085" y="0"/>
              </a:lnTo>
              <a:lnTo>
                <a:pt x="9062085" y="3095625"/>
              </a:lnTo>
              <a:lnTo>
                <a:pt x="0" y="3095625"/>
              </a:lnTo>
              <a:lnTo>
                <a:pt x="0" y="2985135"/>
              </a:lnTo>
              <a:lnTo>
                <a:pt x="8983980" y="2985135"/>
              </a:lnTo>
              <a:close/>
            </a:path>
          </a:pathLst>
        </a:custGeom>
        <a:solidFill>
          <a:schemeClr val="bg1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indent="0" algn="l" defTabSz="914400" rtl="0" eaLnBrk="1" latinLnBrk="0" hangingPunct="1">
            <a:defRPr sz="1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 algn="l" defTabSz="914400" rtl="0" eaLnBrk="1" latinLnBrk="0" hangingPunct="1">
            <a:defRPr sz="1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 algn="l" defTabSz="914400" rtl="0" eaLnBrk="1" latinLnBrk="0" hangingPunct="1">
            <a:defRPr sz="1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 algn="l" defTabSz="914400" rtl="0" eaLnBrk="1" latinLnBrk="0" hangingPunct="1">
            <a:defRPr sz="1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 algn="l" defTabSz="914400" rtl="0" eaLnBrk="1" latinLnBrk="0" hangingPunct="1">
            <a:defRPr sz="1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 algn="l" defTabSz="914400" rtl="0" eaLnBrk="1" latinLnBrk="0" hangingPunct="1">
            <a:defRPr sz="1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 algn="l" defTabSz="914400" rtl="0" eaLnBrk="1" latinLnBrk="0" hangingPunct="1">
            <a:defRPr sz="1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 algn="l" defTabSz="914400" rtl="0" eaLnBrk="1" latinLnBrk="0" hangingPunct="1">
            <a:defRPr sz="1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 algn="l" defTabSz="914400" rtl="0" eaLnBrk="1" latinLnBrk="0" hangingPunct="1">
            <a:defRPr sz="1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37</xdr:col>
      <xdr:colOff>203835</xdr:colOff>
      <xdr:row>19</xdr:row>
      <xdr:rowOff>9525</xdr:rowOff>
    </xdr:from>
    <xdr:to>
      <xdr:col>38</xdr:col>
      <xdr:colOff>74035</xdr:colOff>
      <xdr:row>20</xdr:row>
      <xdr:rowOff>76616</xdr:rowOff>
    </xdr:to>
    <xdr:sp macro="" textlink="">
      <xdr:nvSpPr>
        <xdr:cNvPr id="43" name="Oval 42">
          <a:extLst>
            <a:ext uri="{FF2B5EF4-FFF2-40B4-BE49-F238E27FC236}">
              <a16:creationId xmlns:a16="http://schemas.microsoft.com/office/drawing/2014/main" id="{565E06B6-FB4A-43C7-8E4A-38AF2D5937E8}"/>
            </a:ext>
          </a:extLst>
        </xdr:cNvPr>
        <xdr:cNvSpPr/>
      </xdr:nvSpPr>
      <xdr:spPr>
        <a:xfrm>
          <a:off x="18362295" y="4147185"/>
          <a:ext cx="456940" cy="257591"/>
        </a:xfrm>
        <a:prstGeom prst="ellipse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en-US"/>
        </a:p>
      </xdr:txBody>
    </xdr:sp>
    <xdr:clientData/>
  </xdr:twoCellAnchor>
  <xdr:twoCellAnchor editAs="oneCell">
    <xdr:from>
      <xdr:col>24</xdr:col>
      <xdr:colOff>228600</xdr:colOff>
      <xdr:row>43</xdr:row>
      <xdr:rowOff>30480</xdr:rowOff>
    </xdr:from>
    <xdr:to>
      <xdr:col>33</xdr:col>
      <xdr:colOff>276225</xdr:colOff>
      <xdr:row>52</xdr:row>
      <xdr:rowOff>133348</xdr:rowOff>
    </xdr:to>
    <xdr:pic>
      <xdr:nvPicPr>
        <xdr:cNvPr id="121" name="Picture 2">
          <a:extLst>
            <a:ext uri="{FF2B5EF4-FFF2-40B4-BE49-F238E27FC236}">
              <a16:creationId xmlns:a16="http://schemas.microsoft.com/office/drawing/2014/main" id="{A82A6361-83F7-45EB-B812-A22E0BB903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8740140"/>
          <a:ext cx="4533900" cy="1813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130629</xdr:colOff>
      <xdr:row>6</xdr:row>
      <xdr:rowOff>87087</xdr:rowOff>
    </xdr:from>
    <xdr:to>
      <xdr:col>20</xdr:col>
      <xdr:colOff>343682</xdr:colOff>
      <xdr:row>27</xdr:row>
      <xdr:rowOff>184988</xdr:rowOff>
    </xdr:to>
    <xdr:pic>
      <xdr:nvPicPr>
        <xdr:cNvPr id="123" name="Picture 122">
          <a:extLst>
            <a:ext uri="{FF2B5EF4-FFF2-40B4-BE49-F238E27FC236}">
              <a16:creationId xmlns:a16="http://schemas.microsoft.com/office/drawing/2014/main" id="{5F175653-1F0F-BD08-F2DD-B7555C5155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516086" y="1774373"/>
          <a:ext cx="6504996" cy="4212701"/>
        </a:xfrm>
        <a:prstGeom prst="rect">
          <a:avLst/>
        </a:prstGeom>
      </xdr:spPr>
    </xdr:pic>
    <xdr:clientData/>
  </xdr:twoCellAnchor>
  <xdr:twoCellAnchor editAs="oneCell">
    <xdr:from>
      <xdr:col>22</xdr:col>
      <xdr:colOff>76201</xdr:colOff>
      <xdr:row>9</xdr:row>
      <xdr:rowOff>76201</xdr:rowOff>
    </xdr:from>
    <xdr:to>
      <xdr:col>35</xdr:col>
      <xdr:colOff>641147</xdr:colOff>
      <xdr:row>22</xdr:row>
      <xdr:rowOff>97972</xdr:rowOff>
    </xdr:to>
    <xdr:pic>
      <xdr:nvPicPr>
        <xdr:cNvPr id="124" name="Picture 123">
          <a:extLst>
            <a:ext uri="{FF2B5EF4-FFF2-40B4-BE49-F238E27FC236}">
              <a16:creationId xmlns:a16="http://schemas.microsoft.com/office/drawing/2014/main" id="{CC5CDF3F-1B3F-71C2-1583-774E9A8FCD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668001" y="2351315"/>
          <a:ext cx="6954860" cy="256902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82757</xdr:colOff>
      <xdr:row>6</xdr:row>
      <xdr:rowOff>22633</xdr:rowOff>
    </xdr:from>
    <xdr:to>
      <xdr:col>33</xdr:col>
      <xdr:colOff>213291</xdr:colOff>
      <xdr:row>21</xdr:row>
      <xdr:rowOff>18550</xdr:rowOff>
    </xdr:to>
    <xdr:pic>
      <xdr:nvPicPr>
        <xdr:cNvPr id="321" name="Picture 320">
          <a:extLst>
            <a:ext uri="{FF2B5EF4-FFF2-40B4-BE49-F238E27FC236}">
              <a16:creationId xmlns:a16="http://schemas.microsoft.com/office/drawing/2014/main" id="{21AB14CF-73B3-2072-731B-47A5CCA57A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44064" y="1674890"/>
          <a:ext cx="12888376" cy="2825125"/>
        </a:xfrm>
        <a:prstGeom prst="rect">
          <a:avLst/>
        </a:prstGeom>
      </xdr:spPr>
    </xdr:pic>
    <xdr:clientData/>
  </xdr:twoCellAnchor>
  <xdr:twoCellAnchor editAs="oneCell">
    <xdr:from>
      <xdr:col>6</xdr:col>
      <xdr:colOff>67734</xdr:colOff>
      <xdr:row>40</xdr:row>
      <xdr:rowOff>64407</xdr:rowOff>
    </xdr:from>
    <xdr:to>
      <xdr:col>47</xdr:col>
      <xdr:colOff>114449</xdr:colOff>
      <xdr:row>72</xdr:row>
      <xdr:rowOff>54641</xdr:rowOff>
    </xdr:to>
    <xdr:pic>
      <xdr:nvPicPr>
        <xdr:cNvPr id="322" name="Picture 321">
          <a:extLst>
            <a:ext uri="{FF2B5EF4-FFF2-40B4-BE49-F238E27FC236}">
              <a16:creationId xmlns:a16="http://schemas.microsoft.com/office/drawing/2014/main" id="{F1FED89A-9085-298B-1F51-785649F1EB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843591" y="8201478"/>
          <a:ext cx="19123929" cy="608623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274320</xdr:colOff>
      <xdr:row>44</xdr:row>
      <xdr:rowOff>15240</xdr:rowOff>
    </xdr:from>
    <xdr:to>
      <xdr:col>32</xdr:col>
      <xdr:colOff>167640</xdr:colOff>
      <xdr:row>45</xdr:row>
      <xdr:rowOff>152400</xdr:rowOff>
    </xdr:to>
    <xdr:grpSp>
      <xdr:nvGrpSpPr>
        <xdr:cNvPr id="45" name="Group 1">
          <a:extLst>
            <a:ext uri="{FF2B5EF4-FFF2-40B4-BE49-F238E27FC236}">
              <a16:creationId xmlns:a16="http://schemas.microsoft.com/office/drawing/2014/main" id="{1ED6FCBA-ED9C-49F9-B74B-455E65A2381F}"/>
            </a:ext>
          </a:extLst>
        </xdr:cNvPr>
        <xdr:cNvGrpSpPr>
          <a:grpSpLocks/>
        </xdr:cNvGrpSpPr>
      </xdr:nvGrpSpPr>
      <xdr:grpSpPr bwMode="auto">
        <a:xfrm>
          <a:off x="11757794" y="8771556"/>
          <a:ext cx="3730057" cy="324318"/>
          <a:chOff x="11381474" y="9536505"/>
          <a:chExt cx="3295106" cy="368086"/>
        </a:xfrm>
      </xdr:grpSpPr>
      <xdr:sp macro="" textlink="">
        <xdr:nvSpPr>
          <xdr:cNvPr id="46" name="Rectangle 753">
            <a:extLst>
              <a:ext uri="{FF2B5EF4-FFF2-40B4-BE49-F238E27FC236}">
                <a16:creationId xmlns:a16="http://schemas.microsoft.com/office/drawing/2014/main" id="{3E268F13-0BE0-7B5E-7EB6-BBF7C4DCA3D0}"/>
              </a:ext>
            </a:extLst>
          </xdr:cNvPr>
          <xdr:cNvSpPr>
            <a:spLocks noChangeArrowheads="1"/>
          </xdr:cNvSpPr>
        </xdr:nvSpPr>
        <xdr:spPr bwMode="auto">
          <a:xfrm>
            <a:off x="12915172" y="9707708"/>
            <a:ext cx="46882" cy="145522"/>
          </a:xfrm>
          <a:prstGeom prst="rect">
            <a:avLst/>
          </a:prstGeom>
          <a:ln>
            <a:headEnd/>
            <a:tailEnd/>
          </a:ln>
        </xdr:spPr>
        <xdr:style>
          <a:lnRef idx="1">
            <a:schemeClr val="accent1"/>
          </a:lnRef>
          <a:fillRef idx="2">
            <a:schemeClr val="accent1"/>
          </a:fillRef>
          <a:effectRef idx="1">
            <a:schemeClr val="accent1"/>
          </a:effectRef>
          <a:fontRef idx="minor">
            <a:schemeClr val="dk1"/>
          </a:fontRef>
        </xdr:style>
        <xdr:txBody>
          <a:bodyPr/>
          <a:lstStyle/>
          <a:p>
            <a:endParaRPr lang="en-US"/>
          </a:p>
        </xdr:txBody>
      </xdr:sp>
      <xdr:grpSp>
        <xdr:nvGrpSpPr>
          <xdr:cNvPr id="47" name="Group 2">
            <a:extLst>
              <a:ext uri="{FF2B5EF4-FFF2-40B4-BE49-F238E27FC236}">
                <a16:creationId xmlns:a16="http://schemas.microsoft.com/office/drawing/2014/main" id="{1AFD8810-225E-47C0-5B90-982704966023}"/>
              </a:ext>
            </a:extLst>
          </xdr:cNvPr>
          <xdr:cNvGrpSpPr>
            <a:grpSpLocks/>
          </xdr:cNvGrpSpPr>
        </xdr:nvGrpSpPr>
        <xdr:grpSpPr bwMode="auto">
          <a:xfrm>
            <a:off x="11381474" y="9536505"/>
            <a:ext cx="3295106" cy="368086"/>
            <a:chOff x="10771053" y="9230755"/>
            <a:chExt cx="3282416" cy="365066"/>
          </a:xfrm>
        </xdr:grpSpPr>
        <xdr:grpSp>
          <xdr:nvGrpSpPr>
            <xdr:cNvPr id="48" name="Group 1">
              <a:extLst>
                <a:ext uri="{FF2B5EF4-FFF2-40B4-BE49-F238E27FC236}">
                  <a16:creationId xmlns:a16="http://schemas.microsoft.com/office/drawing/2014/main" id="{84CD20E0-F550-D633-EA7A-C395C68C438E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0949940" y="9425992"/>
              <a:ext cx="2773680" cy="169829"/>
              <a:chOff x="10949940" y="9425992"/>
              <a:chExt cx="2773680" cy="169829"/>
            </a:xfrm>
          </xdr:grpSpPr>
          <xdr:sp macro="" textlink="">
            <xdr:nvSpPr>
              <xdr:cNvPr id="50" name="Rectangle 753">
                <a:extLst>
                  <a:ext uri="{FF2B5EF4-FFF2-40B4-BE49-F238E27FC236}">
                    <a16:creationId xmlns:a16="http://schemas.microsoft.com/office/drawing/2014/main" id="{E9E2D29E-BBBF-1516-A9F0-FD0186530185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12999720" y="9438042"/>
                <a:ext cx="53340" cy="150159"/>
              </a:xfrm>
              <a:prstGeom prst="rect">
                <a:avLst/>
              </a:prstGeom>
              <a:gradFill rotWithShape="0">
                <a:gsLst>
                  <a:gs pos="0">
                    <a:srgbClr val="767676"/>
                  </a:gs>
                  <a:gs pos="50000">
                    <a:srgbClr val="FFFFFF"/>
                  </a:gs>
                  <a:gs pos="100000">
                    <a:srgbClr val="767676"/>
                  </a:gs>
                </a:gsLst>
                <a:lin ang="0" scaled="1"/>
              </a:gradFill>
              <a:ln w="12700">
                <a:solidFill>
                  <a:srgbClr val="000000"/>
                </a:solidFill>
                <a:miter lim="800000"/>
                <a:headEnd/>
                <a:tailEnd/>
              </a:ln>
            </xdr:spPr>
          </xdr:sp>
          <xdr:sp macro="" textlink="">
            <xdr:nvSpPr>
              <xdr:cNvPr id="51" name="Rectangle 753">
                <a:extLst>
                  <a:ext uri="{FF2B5EF4-FFF2-40B4-BE49-F238E27FC236}">
                    <a16:creationId xmlns:a16="http://schemas.microsoft.com/office/drawing/2014/main" id="{A1EBC088-D902-98CB-8335-A868E69693F6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10949940" y="9445662"/>
                <a:ext cx="53340" cy="150159"/>
              </a:xfrm>
              <a:prstGeom prst="rect">
                <a:avLst/>
              </a:prstGeom>
              <a:gradFill rotWithShape="0">
                <a:gsLst>
                  <a:gs pos="0">
                    <a:srgbClr val="767676"/>
                  </a:gs>
                  <a:gs pos="50000">
                    <a:srgbClr val="FFFFFF"/>
                  </a:gs>
                  <a:gs pos="100000">
                    <a:srgbClr val="767676"/>
                  </a:gs>
                </a:gsLst>
                <a:lin ang="0" scaled="1"/>
              </a:gradFill>
              <a:ln w="12700">
                <a:solidFill>
                  <a:srgbClr val="000000"/>
                </a:solidFill>
                <a:miter lim="800000"/>
                <a:headEnd/>
                <a:tailEnd/>
              </a:ln>
            </xdr:spPr>
          </xdr:sp>
          <xdr:sp macro="" textlink="">
            <xdr:nvSpPr>
              <xdr:cNvPr id="52" name="Rectangle 753">
                <a:extLst>
                  <a:ext uri="{FF2B5EF4-FFF2-40B4-BE49-F238E27FC236}">
                    <a16:creationId xmlns:a16="http://schemas.microsoft.com/office/drawing/2014/main" id="{D974D0DB-7A2E-3CCE-A476-0A8C079A570C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11643361" y="9425992"/>
                <a:ext cx="38100" cy="150159"/>
              </a:xfrm>
              <a:prstGeom prst="rect">
                <a:avLst/>
              </a:prstGeom>
              <a:gradFill rotWithShape="0">
                <a:gsLst>
                  <a:gs pos="0">
                    <a:srgbClr val="767676"/>
                  </a:gs>
                  <a:gs pos="50000">
                    <a:srgbClr val="FFFFFF"/>
                  </a:gs>
                  <a:gs pos="100000">
                    <a:srgbClr val="767676"/>
                  </a:gs>
                </a:gsLst>
                <a:lin ang="0" scaled="1"/>
              </a:gradFill>
              <a:ln w="12700">
                <a:solidFill>
                  <a:srgbClr val="000000"/>
                </a:solidFill>
                <a:miter lim="800000"/>
                <a:headEnd/>
                <a:tailEnd/>
              </a:ln>
            </xdr:spPr>
          </xdr:sp>
          <xdr:sp macro="" textlink="">
            <xdr:nvSpPr>
              <xdr:cNvPr id="53" name="Line 186">
                <a:extLst>
                  <a:ext uri="{FF2B5EF4-FFF2-40B4-BE49-F238E27FC236}">
                    <a16:creationId xmlns:a16="http://schemas.microsoft.com/office/drawing/2014/main" id="{3762BD18-5B9C-5E88-4287-81297FAE2134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V="1">
                <a:off x="11010900" y="9472429"/>
                <a:ext cx="613390" cy="3712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 type="stealth" w="med" len="lg"/>
                <a:tailEnd type="stealth" w="med" len="lg"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  <xdr:sp macro="" textlink="">
            <xdr:nvSpPr>
              <xdr:cNvPr id="54" name="Rectangle 753">
                <a:extLst>
                  <a:ext uri="{FF2B5EF4-FFF2-40B4-BE49-F238E27FC236}">
                    <a16:creationId xmlns:a16="http://schemas.microsoft.com/office/drawing/2014/main" id="{2E94E2E0-C93C-2B5C-2A4B-465B4C3D8E9F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13677900" y="9445662"/>
                <a:ext cx="45720" cy="150159"/>
              </a:xfrm>
              <a:prstGeom prst="rect">
                <a:avLst/>
              </a:prstGeom>
              <a:gradFill rotWithShape="0">
                <a:gsLst>
                  <a:gs pos="0">
                    <a:srgbClr val="767676"/>
                  </a:gs>
                  <a:gs pos="50000">
                    <a:srgbClr val="FFFFFF"/>
                  </a:gs>
                  <a:gs pos="100000">
                    <a:srgbClr val="767676"/>
                  </a:gs>
                </a:gsLst>
                <a:lin ang="0" scaled="1"/>
              </a:gradFill>
              <a:ln w="12700">
                <a:solidFill>
                  <a:srgbClr val="000000"/>
                </a:solidFill>
                <a:miter lim="800000"/>
                <a:headEnd/>
                <a:tailEnd/>
              </a:ln>
            </xdr:spPr>
          </xdr:sp>
          <xdr:sp macro="" textlink="">
            <xdr:nvSpPr>
              <xdr:cNvPr id="55" name="Line 186">
                <a:extLst>
                  <a:ext uri="{FF2B5EF4-FFF2-40B4-BE49-F238E27FC236}">
                    <a16:creationId xmlns:a16="http://schemas.microsoft.com/office/drawing/2014/main" id="{6180F8BA-E0E7-834C-8960-5F760DA9A2C8}"/>
                  </a:ext>
                </a:extLst>
              </xdr:cNvPr>
              <xdr:cNvSpPr>
                <a:spLocks noChangeShapeType="1"/>
              </xdr:cNvSpPr>
            </xdr:nvSpPr>
            <xdr:spPr bwMode="auto">
              <a:xfrm>
                <a:off x="11665787" y="9472430"/>
                <a:ext cx="655754" cy="11332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 type="stealth" w="med" len="lg"/>
                <a:tailEnd type="stealth" w="med" len="lg"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  <xdr:sp macro="" textlink="">
            <xdr:nvSpPr>
              <xdr:cNvPr id="56" name="Line 186">
                <a:extLst>
                  <a:ext uri="{FF2B5EF4-FFF2-40B4-BE49-F238E27FC236}">
                    <a16:creationId xmlns:a16="http://schemas.microsoft.com/office/drawing/2014/main" id="{66A16DD1-8DEE-38A8-485E-323A6704401C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V="1">
                <a:off x="12374880" y="9483762"/>
                <a:ext cx="609600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 type="stealth" w="med" len="lg"/>
                <a:tailEnd type="stealth" w="med" len="lg"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  <xdr:sp macro="" textlink="">
            <xdr:nvSpPr>
              <xdr:cNvPr id="57" name="Line 186">
                <a:extLst>
                  <a:ext uri="{FF2B5EF4-FFF2-40B4-BE49-F238E27FC236}">
                    <a16:creationId xmlns:a16="http://schemas.microsoft.com/office/drawing/2014/main" id="{6D5BE3A8-8747-2D27-8ED0-4BCA5D19AFBC}"/>
                  </a:ext>
                </a:extLst>
              </xdr:cNvPr>
              <xdr:cNvSpPr>
                <a:spLocks noChangeShapeType="1"/>
              </xdr:cNvSpPr>
            </xdr:nvSpPr>
            <xdr:spPr bwMode="auto">
              <a:xfrm>
                <a:off x="13053060" y="9483762"/>
                <a:ext cx="632460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 type="stealth" w="med" len="lg"/>
                <a:tailEnd type="stealth" w="med" len="lg"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</xdr:grpSp>
        <xdr:sp macro="" textlink="">
          <xdr:nvSpPr>
            <xdr:cNvPr id="49" name="직사각형 50">
              <a:extLst>
                <a:ext uri="{FF2B5EF4-FFF2-40B4-BE49-F238E27FC236}">
                  <a16:creationId xmlns:a16="http://schemas.microsoft.com/office/drawing/2014/main" id="{DACD63A1-38F2-4E22-A2FE-7546B4EA96BA}"/>
                </a:ext>
              </a:extLst>
            </xdr:cNvPr>
            <xdr:cNvSpPr/>
          </xdr:nvSpPr>
          <xdr:spPr>
            <a:xfrm>
              <a:off x="10771053" y="9230755"/>
              <a:ext cx="3282416" cy="161308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lIns="0" tIns="0" rIns="0" bIns="0" rtlCol="0" anchor="t"/>
            <a:lstStyle/>
            <a:p>
              <a:pPr algn="l"/>
              <a:r>
                <a:rPr lang="en-US" altLang="ko-KR" sz="1100" b="1">
                  <a:solidFill>
                    <a:srgbClr val="FF0000"/>
                  </a:solidFill>
                </a:rPr>
                <a:t>       L1    ______L2</a:t>
              </a:r>
              <a:r>
                <a:rPr lang="en-US" altLang="ko-KR" sz="1100" b="1" baseline="0">
                  <a:solidFill>
                    <a:srgbClr val="FF0000"/>
                  </a:solidFill>
                </a:rPr>
                <a:t> ________V _______  L3  _______L4</a:t>
              </a:r>
              <a:endParaRPr lang="ko-KR" altLang="en-US" sz="1100" b="1">
                <a:solidFill>
                  <a:srgbClr val="FF0000"/>
                </a:solidFill>
              </a:endParaRPr>
            </a:p>
          </xdr:txBody>
        </xdr:sp>
      </xdr:grpSp>
    </xdr:grpSp>
    <xdr:clientData/>
  </xdr:twoCellAnchor>
  <xdr:twoCellAnchor>
    <xdr:from>
      <xdr:col>22</xdr:col>
      <xdr:colOff>114300</xdr:colOff>
      <xdr:row>31</xdr:row>
      <xdr:rowOff>76200</xdr:rowOff>
    </xdr:from>
    <xdr:to>
      <xdr:col>32</xdr:col>
      <xdr:colOff>160020</xdr:colOff>
      <xdr:row>43</xdr:row>
      <xdr:rowOff>15240</xdr:rowOff>
    </xdr:to>
    <xdr:grpSp>
      <xdr:nvGrpSpPr>
        <xdr:cNvPr id="60" name="Group 4">
          <a:extLst>
            <a:ext uri="{FF2B5EF4-FFF2-40B4-BE49-F238E27FC236}">
              <a16:creationId xmlns:a16="http://schemas.microsoft.com/office/drawing/2014/main" id="{5B485893-2F78-4A38-ACEE-8289AA14D5B3}"/>
            </a:ext>
          </a:extLst>
        </xdr:cNvPr>
        <xdr:cNvGrpSpPr>
          <a:grpSpLocks/>
        </xdr:cNvGrpSpPr>
      </xdr:nvGrpSpPr>
      <xdr:grpSpPr bwMode="auto">
        <a:xfrm>
          <a:off x="10688721" y="6399463"/>
          <a:ext cx="4791510" cy="2184935"/>
          <a:chOff x="10073640" y="6560820"/>
          <a:chExt cx="6042660" cy="2827020"/>
        </a:xfrm>
      </xdr:grpSpPr>
      <xdr:pic>
        <xdr:nvPicPr>
          <xdr:cNvPr id="61" name="Picture 57">
            <a:extLst>
              <a:ext uri="{FF2B5EF4-FFF2-40B4-BE49-F238E27FC236}">
                <a16:creationId xmlns:a16="http://schemas.microsoft.com/office/drawing/2014/main" id="{4F23AA04-70C6-057E-BF7D-F12E4417AA5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0073640" y="6560820"/>
            <a:ext cx="6042660" cy="282702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62" name="TextBox 61">
            <a:extLst>
              <a:ext uri="{FF2B5EF4-FFF2-40B4-BE49-F238E27FC236}">
                <a16:creationId xmlns:a16="http://schemas.microsoft.com/office/drawing/2014/main" id="{E907CCC5-FB12-0B99-5263-65C4AC437FBD}"/>
              </a:ext>
            </a:extLst>
          </xdr:cNvPr>
          <xdr:cNvSpPr txBox="1"/>
        </xdr:nvSpPr>
        <xdr:spPr>
          <a:xfrm>
            <a:off x="11479132" y="7751654"/>
            <a:ext cx="3116942" cy="842297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3200" kern="1200">
                <a:solidFill>
                  <a:srgbClr val="FF0000"/>
                </a:solidFill>
                <a:latin typeface="Aptos" panose="020B0004020202020204" pitchFamily="34" charset="0"/>
              </a:rPr>
              <a:t>Sample</a:t>
            </a:r>
          </a:p>
        </xdr:txBody>
      </xdr:sp>
    </xdr:grpSp>
    <xdr:clientData/>
  </xdr:twoCellAnchor>
  <xdr:twoCellAnchor editAs="oneCell">
    <xdr:from>
      <xdr:col>6</xdr:col>
      <xdr:colOff>347578</xdr:colOff>
      <xdr:row>31</xdr:row>
      <xdr:rowOff>106949</xdr:rowOff>
    </xdr:from>
    <xdr:to>
      <xdr:col>17</xdr:col>
      <xdr:colOff>452417</xdr:colOff>
      <xdr:row>44</xdr:row>
      <xdr:rowOff>161280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5EFA885D-10EC-3C9F-5A72-06E1C0FBFD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275262" y="6430212"/>
          <a:ext cx="5291787" cy="2487384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121659</xdr:colOff>
      <xdr:row>8</xdr:row>
      <xdr:rowOff>17706</xdr:rowOff>
    </xdr:from>
    <xdr:ext cx="128535" cy="119394"/>
    <xdr:sp macro="" textlink="">
      <xdr:nvSpPr>
        <xdr:cNvPr id="2" name="Oval 1">
          <a:extLst>
            <a:ext uri="{FF2B5EF4-FFF2-40B4-BE49-F238E27FC236}">
              <a16:creationId xmlns:a16="http://schemas.microsoft.com/office/drawing/2014/main" id="{765D35F3-6475-4F11-927B-71696CD6672A}"/>
            </a:ext>
          </a:extLst>
        </xdr:cNvPr>
        <xdr:cNvSpPr/>
      </xdr:nvSpPr>
      <xdr:spPr>
        <a:xfrm>
          <a:off x="6522459" y="2059866"/>
          <a:ext cx="128535" cy="119394"/>
        </a:xfrm>
        <a:prstGeom prst="ellipse">
          <a:avLst/>
        </a:prstGeom>
        <a:solidFill>
          <a:schemeClr val="bg1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wrap="square" lIns="0" tIns="0" rIns="0" bIns="0" rtlCol="0" anchor="ctr" anchorCtr="1">
          <a:noAutofit/>
        </a:bodyPr>
        <a:lstStyle/>
        <a:p>
          <a:pPr algn="ctr"/>
          <a:r>
            <a:rPr lang="en-US" sz="800" b="1">
              <a:solidFill>
                <a:sysClr val="windowText" lastClr="000000"/>
              </a:solidFill>
              <a:latin typeface="Tw Cen MT" pitchFamily="34" charset="0"/>
            </a:rPr>
            <a:t>1</a:t>
          </a:r>
        </a:p>
      </xdr:txBody>
    </xdr:sp>
    <xdr:clientData/>
  </xdr:oneCellAnchor>
  <xdr:oneCellAnchor>
    <xdr:from>
      <xdr:col>14</xdr:col>
      <xdr:colOff>111574</xdr:colOff>
      <xdr:row>9</xdr:row>
      <xdr:rowOff>17706</xdr:rowOff>
    </xdr:from>
    <xdr:ext cx="119551" cy="119394"/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2197D74C-0EF4-4022-BBDD-A5490D89FC35}"/>
            </a:ext>
          </a:extLst>
        </xdr:cNvPr>
        <xdr:cNvSpPr/>
      </xdr:nvSpPr>
      <xdr:spPr>
        <a:xfrm>
          <a:off x="6512374" y="2250366"/>
          <a:ext cx="119551" cy="119394"/>
        </a:xfrm>
        <a:prstGeom prst="ellipse">
          <a:avLst/>
        </a:prstGeom>
        <a:solidFill>
          <a:schemeClr val="bg1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wrap="square" lIns="0" tIns="0" rIns="0" bIns="0" rtlCol="0" anchor="ctr" anchorCtr="1">
          <a:noAutofit/>
        </a:bodyPr>
        <a:lstStyle/>
        <a:p>
          <a:pPr algn="ctr"/>
          <a:r>
            <a:rPr lang="en-US" sz="800" b="1">
              <a:solidFill>
                <a:sysClr val="windowText" lastClr="000000"/>
              </a:solidFill>
              <a:latin typeface="Tw Cen MT" pitchFamily="34" charset="0"/>
            </a:rPr>
            <a:t>2</a:t>
          </a:r>
        </a:p>
      </xdr:txBody>
    </xdr:sp>
    <xdr:clientData/>
  </xdr:oneCellAnchor>
  <xdr:oneCellAnchor>
    <xdr:from>
      <xdr:col>14</xdr:col>
      <xdr:colOff>111574</xdr:colOff>
      <xdr:row>10</xdr:row>
      <xdr:rowOff>11991</xdr:rowOff>
    </xdr:from>
    <xdr:ext cx="119551" cy="124914"/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FD709EDD-3D8E-4B91-90B8-049685B08B1B}"/>
            </a:ext>
          </a:extLst>
        </xdr:cNvPr>
        <xdr:cNvSpPr/>
      </xdr:nvSpPr>
      <xdr:spPr>
        <a:xfrm>
          <a:off x="6512374" y="2435151"/>
          <a:ext cx="119551" cy="124914"/>
        </a:xfrm>
        <a:prstGeom prst="ellipse">
          <a:avLst/>
        </a:prstGeom>
        <a:solidFill>
          <a:schemeClr val="bg1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wrap="square" lIns="0" tIns="0" rIns="0" bIns="0" rtlCol="0" anchor="ctr" anchorCtr="1">
          <a:noAutofit/>
        </a:bodyPr>
        <a:lstStyle/>
        <a:p>
          <a:pPr algn="ctr"/>
          <a:r>
            <a:rPr lang="en-US" sz="800" b="1">
              <a:solidFill>
                <a:sysClr val="windowText" lastClr="000000"/>
              </a:solidFill>
              <a:latin typeface="Tw Cen MT" pitchFamily="34" charset="0"/>
            </a:rPr>
            <a:t>3</a:t>
          </a:r>
        </a:p>
      </xdr:txBody>
    </xdr:sp>
    <xdr:clientData/>
  </xdr:oneCellAnchor>
  <xdr:oneCellAnchor>
    <xdr:from>
      <xdr:col>14</xdr:col>
      <xdr:colOff>105587</xdr:colOff>
      <xdr:row>11</xdr:row>
      <xdr:rowOff>20428</xdr:rowOff>
    </xdr:from>
    <xdr:ext cx="118912" cy="112607"/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AE44BEE2-05A1-4CC7-A625-8BB48A804616}"/>
            </a:ext>
          </a:extLst>
        </xdr:cNvPr>
        <xdr:cNvSpPr/>
      </xdr:nvSpPr>
      <xdr:spPr>
        <a:xfrm>
          <a:off x="6506387" y="2634088"/>
          <a:ext cx="118912" cy="112607"/>
        </a:xfrm>
        <a:prstGeom prst="ellipse">
          <a:avLst/>
        </a:prstGeom>
        <a:solidFill>
          <a:schemeClr val="bg1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wrap="square" lIns="0" tIns="0" rIns="0" bIns="0" rtlCol="0" anchor="ctr" anchorCtr="1">
          <a:noAutofit/>
        </a:bodyPr>
        <a:lstStyle/>
        <a:p>
          <a:pPr algn="ctr"/>
          <a:r>
            <a:rPr lang="en-US" sz="800" b="1">
              <a:solidFill>
                <a:sysClr val="windowText" lastClr="000000"/>
              </a:solidFill>
              <a:latin typeface="Tw Cen MT" pitchFamily="34" charset="0"/>
            </a:rPr>
            <a:t>4</a:t>
          </a:r>
        </a:p>
      </xdr:txBody>
    </xdr:sp>
    <xdr:clientData/>
  </xdr:oneCellAnchor>
  <xdr:oneCellAnchor>
    <xdr:from>
      <xdr:col>26</xdr:col>
      <xdr:colOff>106138</xdr:colOff>
      <xdr:row>11</xdr:row>
      <xdr:rowOff>11815</xdr:rowOff>
    </xdr:from>
    <xdr:ext cx="128447" cy="128774"/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467BDB15-5392-4804-B7DD-4AA06DFFDB97}"/>
            </a:ext>
          </a:extLst>
        </xdr:cNvPr>
        <xdr:cNvSpPr/>
      </xdr:nvSpPr>
      <xdr:spPr>
        <a:xfrm>
          <a:off x="11993338" y="2625475"/>
          <a:ext cx="128447" cy="128774"/>
        </a:xfrm>
        <a:prstGeom prst="ellipse">
          <a:avLst/>
        </a:prstGeom>
        <a:solidFill>
          <a:schemeClr val="bg1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wrap="square" lIns="0" tIns="0" rIns="0" bIns="0" rtlCol="0" anchor="ctr" anchorCtr="1">
          <a:noAutofit/>
        </a:bodyPr>
        <a:lstStyle/>
        <a:p>
          <a:pPr algn="ctr"/>
          <a:r>
            <a:rPr lang="en-US" sz="800" b="1">
              <a:solidFill>
                <a:sysClr val="windowText" lastClr="000000"/>
              </a:solidFill>
              <a:latin typeface="Tw Cen MT" pitchFamily="34" charset="0"/>
            </a:rPr>
            <a:t>5</a:t>
          </a:r>
        </a:p>
      </xdr:txBody>
    </xdr:sp>
    <xdr:clientData/>
  </xdr:oneCellAnchor>
  <xdr:oneCellAnchor>
    <xdr:from>
      <xdr:col>26</xdr:col>
      <xdr:colOff>103101</xdr:colOff>
      <xdr:row>12</xdr:row>
      <xdr:rowOff>20843</xdr:rowOff>
    </xdr:from>
    <xdr:ext cx="127023" cy="107635"/>
    <xdr:sp macro="" textlink="">
      <xdr:nvSpPr>
        <xdr:cNvPr id="7" name="Oval 6">
          <a:extLst>
            <a:ext uri="{FF2B5EF4-FFF2-40B4-BE49-F238E27FC236}">
              <a16:creationId xmlns:a16="http://schemas.microsoft.com/office/drawing/2014/main" id="{45CD6B69-18C7-413B-A14C-8A5B85CFBFDF}"/>
            </a:ext>
          </a:extLst>
        </xdr:cNvPr>
        <xdr:cNvSpPr/>
      </xdr:nvSpPr>
      <xdr:spPr>
        <a:xfrm>
          <a:off x="11990301" y="2825003"/>
          <a:ext cx="127023" cy="107635"/>
        </a:xfrm>
        <a:prstGeom prst="ellipse">
          <a:avLst/>
        </a:prstGeom>
        <a:solidFill>
          <a:schemeClr val="bg1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wrap="square" lIns="0" tIns="0" rIns="0" bIns="0" rtlCol="0" anchor="ctr" anchorCtr="1">
          <a:noAutofit/>
        </a:bodyPr>
        <a:lstStyle/>
        <a:p>
          <a:pPr algn="ctr"/>
          <a:r>
            <a:rPr lang="en-US" sz="800" b="1">
              <a:solidFill>
                <a:sysClr val="windowText" lastClr="000000"/>
              </a:solidFill>
              <a:latin typeface="Tw Cen MT" pitchFamily="34" charset="0"/>
            </a:rPr>
            <a:t>6</a:t>
          </a:r>
        </a:p>
      </xdr:txBody>
    </xdr:sp>
    <xdr:clientData/>
  </xdr:oneCellAnchor>
  <xdr:twoCellAnchor editAs="oneCell">
    <xdr:from>
      <xdr:col>8</xdr:col>
      <xdr:colOff>76200</xdr:colOff>
      <xdr:row>15</xdr:row>
      <xdr:rowOff>181935</xdr:rowOff>
    </xdr:from>
    <xdr:to>
      <xdr:col>17</xdr:col>
      <xdr:colOff>95250</xdr:colOff>
      <xdr:row>43</xdr:row>
      <xdr:rowOff>129540</xdr:rowOff>
    </xdr:to>
    <xdr:pic>
      <xdr:nvPicPr>
        <xdr:cNvPr id="8" name="Picture 66">
          <a:extLst>
            <a:ext uri="{FF2B5EF4-FFF2-40B4-BE49-F238E27FC236}">
              <a16:creationId xmlns:a16="http://schemas.microsoft.com/office/drawing/2014/main" id="{971660FA-35A7-4FE7-B6AF-B747F54048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-2" b="1619"/>
        <a:stretch>
          <a:fillRect/>
        </a:stretch>
      </xdr:blipFill>
      <xdr:spPr bwMode="auto">
        <a:xfrm>
          <a:off x="3733800" y="3557595"/>
          <a:ext cx="4136027" cy="52816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22</xdr:col>
      <xdr:colOff>95251</xdr:colOff>
      <xdr:row>15</xdr:row>
      <xdr:rowOff>69940</xdr:rowOff>
    </xdr:from>
    <xdr:to>
      <xdr:col>31</xdr:col>
      <xdr:colOff>152400</xdr:colOff>
      <xdr:row>43</xdr:row>
      <xdr:rowOff>131161</xdr:rowOff>
    </xdr:to>
    <xdr:pic>
      <xdr:nvPicPr>
        <xdr:cNvPr id="9" name="Picture 68">
          <a:extLst>
            <a:ext uri="{FF2B5EF4-FFF2-40B4-BE49-F238E27FC236}">
              <a16:creationId xmlns:a16="http://schemas.microsoft.com/office/drawing/2014/main" id="{A2D9A07D-0BBE-4D68-9D5C-162C7B3CF3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350"/>
        <a:stretch>
          <a:fillRect/>
        </a:stretch>
      </xdr:blipFill>
      <xdr:spPr bwMode="auto">
        <a:xfrm>
          <a:off x="10153651" y="3445600"/>
          <a:ext cx="4271001" cy="539523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34</xdr:col>
      <xdr:colOff>335280</xdr:colOff>
      <xdr:row>6</xdr:row>
      <xdr:rowOff>15240</xdr:rowOff>
    </xdr:from>
    <xdr:to>
      <xdr:col>47</xdr:col>
      <xdr:colOff>47625</xdr:colOff>
      <xdr:row>28</xdr:row>
      <xdr:rowOff>129540</xdr:rowOff>
    </xdr:to>
    <xdr:pic>
      <xdr:nvPicPr>
        <xdr:cNvPr id="10" name="Picture 69">
          <a:extLst>
            <a:ext uri="{FF2B5EF4-FFF2-40B4-BE49-F238E27FC236}">
              <a16:creationId xmlns:a16="http://schemas.microsoft.com/office/drawing/2014/main" id="{CA9341F3-3C43-4AE2-AEAC-07AE476B97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80080" y="1676400"/>
          <a:ext cx="5463540" cy="430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42</xdr:col>
      <xdr:colOff>129540</xdr:colOff>
      <xdr:row>33</xdr:row>
      <xdr:rowOff>7620</xdr:rowOff>
    </xdr:from>
    <xdr:to>
      <xdr:col>43</xdr:col>
      <xdr:colOff>142875</xdr:colOff>
      <xdr:row>37</xdr:row>
      <xdr:rowOff>133350</xdr:rowOff>
    </xdr:to>
    <xdr:pic>
      <xdr:nvPicPr>
        <xdr:cNvPr id="11" name="Picture 99">
          <a:extLst>
            <a:ext uri="{FF2B5EF4-FFF2-40B4-BE49-F238E27FC236}">
              <a16:creationId xmlns:a16="http://schemas.microsoft.com/office/drawing/2014/main" id="{800495EF-AABB-4297-884D-4994B22B30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149060" y="6812280"/>
          <a:ext cx="552450" cy="8877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441157</xdr:colOff>
      <xdr:row>3</xdr:row>
      <xdr:rowOff>28607</xdr:rowOff>
    </xdr:from>
    <xdr:to>
      <xdr:col>15</xdr:col>
      <xdr:colOff>122270</xdr:colOff>
      <xdr:row>24</xdr:row>
      <xdr:rowOff>80210</xdr:rowOff>
    </xdr:to>
    <xdr:pic>
      <xdr:nvPicPr>
        <xdr:cNvPr id="2" name="그림 3">
          <a:extLst>
            <a:ext uri="{FF2B5EF4-FFF2-40B4-BE49-F238E27FC236}">
              <a16:creationId xmlns:a16="http://schemas.microsoft.com/office/drawing/2014/main" id="{5B9097C9-2A55-4B84-B025-F82B4D0543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1157" y="1017870"/>
          <a:ext cx="6499008" cy="39819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1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CF1E7-3FA5-4641-80B3-F68AACD23B9C}">
  <dimension ref="A1:AH56"/>
  <sheetViews>
    <sheetView showGridLines="0" view="pageBreakPreview" topLeftCell="D11" zoomScaleNormal="100" zoomScaleSheetLayoutView="100" zoomScalePageLayoutView="78" workbookViewId="0">
      <selection activeCell="I36" sqref="I36"/>
    </sheetView>
  </sheetViews>
  <sheetFormatPr defaultColWidth="9.109375" defaultRowHeight="13.2"/>
  <cols>
    <col min="1" max="18" width="9.44140625" style="2" customWidth="1"/>
    <col min="19" max="22" width="9.109375" style="2" customWidth="1"/>
    <col min="23" max="16384" width="9.109375" style="2"/>
  </cols>
  <sheetData>
    <row r="1" spans="1:4" ht="15.6">
      <c r="A1" s="1" t="s">
        <v>0</v>
      </c>
    </row>
    <row r="7" spans="1:4" ht="18">
      <c r="D7" s="3"/>
    </row>
    <row r="17" spans="3:16" ht="28.2" customHeight="1">
      <c r="C17" s="621" t="s">
        <v>1</v>
      </c>
      <c r="D17" s="621"/>
      <c r="E17" s="621"/>
      <c r="F17" s="621"/>
      <c r="G17" s="621"/>
      <c r="H17" s="621"/>
      <c r="I17" s="621"/>
      <c r="J17" s="621"/>
      <c r="K17" s="621"/>
      <c r="L17" s="621"/>
      <c r="M17" s="621"/>
      <c r="N17" s="621"/>
      <c r="O17" s="621"/>
      <c r="P17" s="621"/>
    </row>
    <row r="18" spans="3:16" ht="25.2">
      <c r="C18" s="621" t="s">
        <v>2</v>
      </c>
      <c r="D18" s="621"/>
      <c r="E18" s="621"/>
      <c r="F18" s="621"/>
      <c r="G18" s="621"/>
      <c r="H18" s="621"/>
      <c r="I18" s="621"/>
      <c r="J18" s="621"/>
      <c r="K18" s="621"/>
      <c r="L18" s="621"/>
      <c r="M18" s="621"/>
      <c r="N18" s="621"/>
      <c r="O18" s="621"/>
      <c r="P18" s="621"/>
    </row>
    <row r="19" spans="3:16" ht="25.2">
      <c r="C19" s="622" t="str">
        <f>"..................."&amp;'page 1'!AC7&amp;"..................."</f>
        <v>......................................</v>
      </c>
      <c r="D19" s="622"/>
      <c r="E19" s="622"/>
      <c r="F19" s="622"/>
      <c r="G19" s="622"/>
      <c r="H19" s="622"/>
      <c r="I19" s="622"/>
      <c r="J19" s="622"/>
      <c r="K19" s="622"/>
      <c r="L19" s="622"/>
      <c r="M19" s="622"/>
      <c r="N19" s="622"/>
      <c r="O19" s="622"/>
      <c r="P19" s="622"/>
    </row>
    <row r="20" spans="3:16" ht="25.2">
      <c r="C20" s="621" t="s">
        <v>3</v>
      </c>
      <c r="D20" s="621"/>
      <c r="E20" s="621"/>
      <c r="F20" s="621"/>
      <c r="G20" s="621"/>
      <c r="H20" s="621"/>
      <c r="I20" s="621"/>
      <c r="J20" s="621"/>
      <c r="K20" s="621"/>
      <c r="L20" s="621"/>
      <c r="M20" s="621"/>
      <c r="N20" s="621"/>
      <c r="O20" s="621"/>
      <c r="P20" s="621"/>
    </row>
    <row r="21" spans="3:16" ht="25.2">
      <c r="C21" s="621" t="s">
        <v>4</v>
      </c>
      <c r="D21" s="621"/>
      <c r="E21" s="621"/>
      <c r="F21" s="621"/>
      <c r="G21" s="621"/>
      <c r="H21" s="621"/>
      <c r="I21" s="621"/>
      <c r="J21" s="621"/>
      <c r="K21" s="621"/>
      <c r="L21" s="621"/>
      <c r="M21" s="621"/>
      <c r="N21" s="621"/>
      <c r="O21" s="621"/>
      <c r="P21" s="621"/>
    </row>
    <row r="23" spans="3:16" ht="19.5" customHeight="1">
      <c r="G23" s="4"/>
      <c r="H23" s="4"/>
    </row>
    <row r="24" spans="3:16" ht="12.75" customHeight="1">
      <c r="G24" s="4"/>
      <c r="H24" s="4"/>
    </row>
    <row r="34" spans="10:10" ht="19.2">
      <c r="J34" s="5"/>
    </row>
    <row r="56" spans="34:34">
      <c r="AH56" s="2" t="s">
        <v>5</v>
      </c>
    </row>
  </sheetData>
  <sheetProtection sheet="1"/>
  <mergeCells count="5">
    <mergeCell ref="C17:P17"/>
    <mergeCell ref="C18:P18"/>
    <mergeCell ref="C19:P19"/>
    <mergeCell ref="C20:P20"/>
    <mergeCell ref="C21:P21"/>
  </mergeCells>
  <printOptions horizontalCentered="1" verticalCentered="1"/>
  <pageMargins left="0.39370078740157483" right="0.39370078740157483" top="0.39370078740157483" bottom="0.39370078740157483" header="0" footer="0"/>
  <pageSetup paperSize="9" scale="80" orientation="landscape" horizontalDpi="300" verticalDpi="300" r:id="rId1"/>
  <headerFooter alignWithMargins="0">
    <oddHeader>&amp;LPELNG-F-MO.T2-0026 Rev. 00&amp;C&amp;REffective Date: 22/04/2026</oddHeader>
    <oddFooter>&amp;L&amp;C&amp;R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766863-67C9-455C-9ABC-532983B90658}">
  <dimension ref="A1:AV79"/>
  <sheetViews>
    <sheetView showGridLines="0" view="pageBreakPreview" topLeftCell="A18" zoomScale="70" zoomScaleNormal="40" zoomScaleSheetLayoutView="70" zoomScalePageLayoutView="40" workbookViewId="0">
      <selection activeCell="Q25" sqref="Q25:S25"/>
    </sheetView>
  </sheetViews>
  <sheetFormatPr defaultColWidth="9.109375" defaultRowHeight="13.2"/>
  <cols>
    <col min="1" max="17" width="6.6640625" style="64" customWidth="1"/>
    <col min="18" max="18" width="8.109375" style="64" customWidth="1"/>
    <col min="19" max="19" width="10.33203125" style="64" customWidth="1"/>
    <col min="20" max="36" width="6.6640625" style="64" customWidth="1"/>
    <col min="37" max="48" width="6.33203125" style="64" customWidth="1"/>
    <col min="49" max="52" width="9.109375" style="64" customWidth="1"/>
    <col min="53" max="16384" width="9.109375" style="64"/>
  </cols>
  <sheetData>
    <row r="1" spans="1:48" s="9" customFormat="1" ht="24.9" customHeight="1">
      <c r="A1" s="830" t="s">
        <v>6</v>
      </c>
      <c r="B1" s="831"/>
      <c r="C1" s="831"/>
      <c r="D1" s="831"/>
      <c r="E1" s="831"/>
      <c r="F1" s="831"/>
      <c r="G1" s="831"/>
      <c r="H1" s="831"/>
      <c r="I1" s="831"/>
      <c r="J1" s="831"/>
      <c r="K1" s="831"/>
      <c r="L1" s="831"/>
      <c r="M1" s="831"/>
      <c r="N1" s="831"/>
      <c r="O1" s="831"/>
      <c r="P1" s="831"/>
      <c r="Q1" s="831"/>
      <c r="R1" s="831"/>
      <c r="S1" s="831"/>
      <c r="T1" s="831"/>
      <c r="U1" s="831"/>
      <c r="V1" s="831"/>
      <c r="W1" s="831"/>
      <c r="X1" s="831"/>
      <c r="Y1" s="831"/>
      <c r="Z1" s="831"/>
      <c r="AA1" s="831"/>
      <c r="AB1" s="831"/>
      <c r="AC1" s="831"/>
      <c r="AD1" s="831"/>
      <c r="AE1" s="831"/>
      <c r="AF1" s="831"/>
      <c r="AG1" s="831"/>
      <c r="AH1" s="831"/>
      <c r="AI1" s="831"/>
      <c r="AJ1" s="831"/>
      <c r="AK1" s="831"/>
      <c r="AL1" s="831"/>
      <c r="AM1" s="831"/>
      <c r="AN1" s="831"/>
      <c r="AO1" s="831"/>
      <c r="AP1" s="831"/>
      <c r="AQ1" s="831"/>
      <c r="AR1" s="831"/>
      <c r="AS1" s="832"/>
      <c r="AT1" s="6"/>
      <c r="AU1" s="7" t="s">
        <v>7</v>
      </c>
      <c r="AV1" s="8"/>
    </row>
    <row r="2" spans="1:48" s="9" customFormat="1" ht="24.9" customHeight="1">
      <c r="A2" s="833"/>
      <c r="B2" s="834"/>
      <c r="C2" s="834"/>
      <c r="D2" s="834"/>
      <c r="E2" s="834"/>
      <c r="F2" s="834"/>
      <c r="G2" s="834"/>
      <c r="H2" s="834"/>
      <c r="I2" s="834"/>
      <c r="J2" s="834"/>
      <c r="K2" s="834"/>
      <c r="L2" s="834"/>
      <c r="M2" s="834"/>
      <c r="N2" s="834"/>
      <c r="O2" s="834"/>
      <c r="P2" s="834"/>
      <c r="Q2" s="834"/>
      <c r="R2" s="834"/>
      <c r="S2" s="834"/>
      <c r="T2" s="834"/>
      <c r="U2" s="834"/>
      <c r="V2" s="834"/>
      <c r="W2" s="834"/>
      <c r="X2" s="834"/>
      <c r="Y2" s="834"/>
      <c r="Z2" s="834"/>
      <c r="AA2" s="834"/>
      <c r="AB2" s="834"/>
      <c r="AC2" s="834"/>
      <c r="AD2" s="834"/>
      <c r="AE2" s="834"/>
      <c r="AF2" s="834"/>
      <c r="AG2" s="834"/>
      <c r="AH2" s="834"/>
      <c r="AI2" s="834"/>
      <c r="AJ2" s="834"/>
      <c r="AK2" s="834"/>
      <c r="AL2" s="834"/>
      <c r="AM2" s="834"/>
      <c r="AN2" s="834"/>
      <c r="AO2" s="834"/>
      <c r="AP2" s="834"/>
      <c r="AQ2" s="834"/>
      <c r="AR2" s="834"/>
      <c r="AS2" s="10"/>
      <c r="AT2" s="11"/>
      <c r="AU2" s="12" t="s">
        <v>8</v>
      </c>
      <c r="AV2" s="13"/>
    </row>
    <row r="3" spans="1:48" s="9" customFormat="1" ht="37.5" customHeight="1">
      <c r="A3" s="835" t="s">
        <v>9</v>
      </c>
      <c r="B3" s="836"/>
      <c r="C3" s="836"/>
      <c r="D3" s="836"/>
      <c r="E3" s="836"/>
      <c r="F3" s="836"/>
      <c r="G3" s="836"/>
      <c r="H3" s="836"/>
      <c r="I3" s="836"/>
      <c r="J3" s="836"/>
      <c r="K3" s="836"/>
      <c r="L3" s="836"/>
      <c r="M3" s="836"/>
      <c r="N3" s="836"/>
      <c r="O3" s="836"/>
      <c r="P3" s="836"/>
      <c r="Q3" s="836"/>
      <c r="R3" s="836"/>
      <c r="S3" s="836"/>
      <c r="T3" s="836"/>
      <c r="U3" s="836"/>
      <c r="V3" s="836"/>
      <c r="W3" s="836"/>
      <c r="X3" s="836"/>
      <c r="Y3" s="837" t="s">
        <v>10</v>
      </c>
      <c r="Z3" s="836"/>
      <c r="AA3" s="836"/>
      <c r="AB3" s="836"/>
      <c r="AC3" s="836"/>
      <c r="AD3" s="836"/>
      <c r="AE3" s="836"/>
      <c r="AF3" s="836"/>
      <c r="AG3" s="836"/>
      <c r="AH3" s="836"/>
      <c r="AI3" s="836"/>
      <c r="AJ3" s="836"/>
      <c r="AK3" s="836"/>
      <c r="AL3" s="836"/>
      <c r="AM3" s="836"/>
      <c r="AN3" s="836"/>
      <c r="AO3" s="836"/>
      <c r="AP3" s="836"/>
      <c r="AQ3" s="836"/>
      <c r="AR3" s="836"/>
      <c r="AS3" s="836"/>
      <c r="AT3" s="836"/>
      <c r="AU3" s="836"/>
      <c r="AV3" s="838"/>
    </row>
    <row r="4" spans="1:48" s="22" customFormat="1" ht="35.25" customHeight="1">
      <c r="A4" s="839" t="s">
        <v>11</v>
      </c>
      <c r="B4" s="840"/>
      <c r="C4" s="841"/>
      <c r="D4" s="842" t="s">
        <v>12</v>
      </c>
      <c r="E4" s="843"/>
      <c r="F4" s="843"/>
      <c r="G4" s="843"/>
      <c r="H4" s="843"/>
      <c r="I4" s="843"/>
      <c r="J4" s="844"/>
      <c r="K4" s="845" t="s">
        <v>13</v>
      </c>
      <c r="L4" s="840"/>
      <c r="M4" s="840"/>
      <c r="N4" s="840"/>
      <c r="O4" s="840"/>
      <c r="P4" s="840"/>
      <c r="Q4" s="845" t="s">
        <v>14</v>
      </c>
      <c r="R4" s="840"/>
      <c r="S4" s="841"/>
      <c r="T4" s="846" t="s">
        <v>15</v>
      </c>
      <c r="U4" s="846"/>
      <c r="V4" s="846"/>
      <c r="W4" s="846"/>
      <c r="X4" s="847"/>
      <c r="Y4" s="14"/>
      <c r="Z4" s="15"/>
      <c r="AA4" s="16"/>
      <c r="AB4" s="17"/>
      <c r="AC4" s="17"/>
      <c r="AD4" s="17"/>
      <c r="AE4" s="17"/>
      <c r="AF4" s="17"/>
      <c r="AG4" s="17"/>
      <c r="AH4" s="17"/>
      <c r="AI4" s="18" t="s">
        <v>16</v>
      </c>
      <c r="AJ4" s="17"/>
      <c r="AK4" s="19"/>
      <c r="AL4" s="17"/>
      <c r="AM4" s="17"/>
      <c r="AN4" s="15"/>
      <c r="AO4" s="15"/>
      <c r="AP4" s="15"/>
      <c r="AQ4" s="15"/>
      <c r="AR4" s="15"/>
      <c r="AS4" s="15"/>
      <c r="AT4" s="15"/>
      <c r="AU4" s="20"/>
      <c r="AV4" s="21"/>
    </row>
    <row r="5" spans="1:48" s="28" customFormat="1" ht="27.6" customHeight="1">
      <c r="A5" s="753" t="s">
        <v>17</v>
      </c>
      <c r="B5" s="754"/>
      <c r="C5" s="755"/>
      <c r="D5" s="737" t="s">
        <v>18</v>
      </c>
      <c r="E5" s="738"/>
      <c r="F5" s="738"/>
      <c r="G5" s="738"/>
      <c r="H5" s="738"/>
      <c r="I5" s="738"/>
      <c r="J5" s="738"/>
      <c r="K5" s="790">
        <f>'page 1'!AD33</f>
        <v>0</v>
      </c>
      <c r="L5" s="791"/>
      <c r="M5" s="791"/>
      <c r="N5" s="791"/>
      <c r="O5" s="791"/>
      <c r="P5" s="791"/>
      <c r="Q5" s="792" t="s">
        <v>19</v>
      </c>
      <c r="R5" s="793"/>
      <c r="S5" s="794"/>
      <c r="T5" s="760"/>
      <c r="U5" s="760"/>
      <c r="V5" s="760"/>
      <c r="W5" s="760"/>
      <c r="X5" s="761"/>
      <c r="Y5" s="23"/>
      <c r="Z5" s="16" t="s">
        <v>20</v>
      </c>
      <c r="AA5" s="18" t="s">
        <v>21</v>
      </c>
      <c r="AB5" s="17"/>
      <c r="AC5" s="24"/>
      <c r="AD5" s="17"/>
      <c r="AE5" s="17"/>
      <c r="AF5" s="17"/>
      <c r="AG5" s="17"/>
      <c r="AH5" s="17"/>
      <c r="AI5" s="25">
        <v>1</v>
      </c>
      <c r="AJ5" s="17"/>
      <c r="AK5" s="26"/>
      <c r="AL5" s="27" t="s">
        <v>22</v>
      </c>
      <c r="AM5" s="24"/>
      <c r="AN5" s="17"/>
      <c r="AO5" s="24"/>
      <c r="AP5" s="17"/>
      <c r="AQ5" s="17"/>
      <c r="AR5" s="17"/>
      <c r="AS5" s="17"/>
      <c r="AT5" s="17"/>
      <c r="AU5" s="25"/>
      <c r="AV5" s="21"/>
    </row>
    <row r="6" spans="1:48" s="28" customFormat="1" ht="27.6" customHeight="1">
      <c r="A6" s="787"/>
      <c r="B6" s="788"/>
      <c r="C6" s="789"/>
      <c r="D6" s="774" t="s">
        <v>23</v>
      </c>
      <c r="E6" s="775"/>
      <c r="F6" s="775"/>
      <c r="G6" s="775"/>
      <c r="H6" s="775"/>
      <c r="I6" s="775"/>
      <c r="J6" s="775"/>
      <c r="K6" s="848">
        <f>'page 1'!AD34</f>
        <v>0</v>
      </c>
      <c r="L6" s="849"/>
      <c r="M6" s="849"/>
      <c r="N6" s="849"/>
      <c r="O6" s="849"/>
      <c r="P6" s="849"/>
      <c r="Q6" s="850" t="s">
        <v>24</v>
      </c>
      <c r="R6" s="851"/>
      <c r="S6" s="852"/>
      <c r="T6" s="785"/>
      <c r="U6" s="785"/>
      <c r="V6" s="785"/>
      <c r="W6" s="785"/>
      <c r="X6" s="786"/>
      <c r="Y6" s="23"/>
      <c r="Z6" s="16"/>
      <c r="AA6" s="18" t="s">
        <v>25</v>
      </c>
      <c r="AB6" s="17"/>
      <c r="AC6" s="24"/>
      <c r="AD6" s="17"/>
      <c r="AE6" s="17"/>
      <c r="AF6" s="17"/>
      <c r="AG6" s="17"/>
      <c r="AH6" s="17"/>
      <c r="AI6" s="25"/>
      <c r="AJ6" s="17"/>
      <c r="AK6" s="26"/>
      <c r="AL6" s="24"/>
      <c r="AM6" s="24"/>
      <c r="AN6" s="17"/>
      <c r="AO6" s="24"/>
      <c r="AP6" s="17"/>
      <c r="AQ6" s="17"/>
      <c r="AR6" s="17"/>
      <c r="AS6" s="17"/>
      <c r="AT6" s="17"/>
      <c r="AU6" s="25"/>
      <c r="AV6" s="21"/>
    </row>
    <row r="7" spans="1:48" s="28" customFormat="1" ht="27.6" customHeight="1">
      <c r="A7" s="787"/>
      <c r="B7" s="788"/>
      <c r="C7" s="789"/>
      <c r="D7" s="774" t="s">
        <v>26</v>
      </c>
      <c r="E7" s="775"/>
      <c r="F7" s="775"/>
      <c r="G7" s="775"/>
      <c r="H7" s="775"/>
      <c r="I7" s="775"/>
      <c r="J7" s="775"/>
      <c r="K7" s="797">
        <f>'page 1'!AC18</f>
        <v>0</v>
      </c>
      <c r="L7" s="798"/>
      <c r="M7" s="798"/>
      <c r="N7" s="798"/>
      <c r="O7" s="798"/>
      <c r="P7" s="798"/>
      <c r="Q7" s="799" t="s">
        <v>27</v>
      </c>
      <c r="R7" s="800"/>
      <c r="S7" s="801"/>
      <c r="T7" s="785"/>
      <c r="U7" s="785"/>
      <c r="V7" s="785"/>
      <c r="W7" s="785"/>
      <c r="X7" s="786"/>
      <c r="Y7" s="23"/>
      <c r="Z7" s="16"/>
      <c r="AA7" s="18" t="s">
        <v>28</v>
      </c>
      <c r="AB7" s="17"/>
      <c r="AC7" s="24"/>
      <c r="AD7" s="17"/>
      <c r="AE7" s="17"/>
      <c r="AF7" s="17"/>
      <c r="AG7" s="17"/>
      <c r="AH7" s="17"/>
      <c r="AI7" s="25"/>
      <c r="AJ7" s="17"/>
      <c r="AK7" s="26"/>
      <c r="AL7" s="18" t="s">
        <v>29</v>
      </c>
      <c r="AM7" s="18"/>
      <c r="AN7" s="15" t="s">
        <v>30</v>
      </c>
      <c r="AO7" s="24" t="s">
        <v>31</v>
      </c>
      <c r="AP7" s="17"/>
      <c r="AQ7" s="17"/>
      <c r="AR7" s="17"/>
      <c r="AS7" s="17"/>
      <c r="AT7" s="17"/>
      <c r="AU7" s="25"/>
      <c r="AV7" s="21"/>
    </row>
    <row r="8" spans="1:48" s="28" customFormat="1" ht="27.6" customHeight="1">
      <c r="A8" s="756"/>
      <c r="B8" s="757"/>
      <c r="C8" s="758"/>
      <c r="D8" s="712" t="s">
        <v>32</v>
      </c>
      <c r="E8" s="713"/>
      <c r="F8" s="713"/>
      <c r="G8" s="713"/>
      <c r="H8" s="713"/>
      <c r="I8" s="713"/>
      <c r="J8" s="713"/>
      <c r="K8" s="853">
        <f>'page 1'!AC19</f>
        <v>0</v>
      </c>
      <c r="L8" s="854"/>
      <c r="M8" s="854"/>
      <c r="N8" s="854"/>
      <c r="O8" s="854"/>
      <c r="P8" s="854"/>
      <c r="Q8" s="855" t="s">
        <v>27</v>
      </c>
      <c r="R8" s="856"/>
      <c r="S8" s="857"/>
      <c r="T8" s="858"/>
      <c r="U8" s="859"/>
      <c r="V8" s="859"/>
      <c r="W8" s="859"/>
      <c r="X8" s="860"/>
      <c r="Y8" s="23"/>
      <c r="Z8" s="16"/>
      <c r="AA8" s="18"/>
      <c r="AB8" s="17"/>
      <c r="AC8" s="24"/>
      <c r="AD8" s="17"/>
      <c r="AE8" s="17"/>
      <c r="AF8" s="17"/>
      <c r="AG8" s="17"/>
      <c r="AH8" s="17"/>
      <c r="AI8" s="25"/>
      <c r="AJ8" s="17"/>
      <c r="AK8" s="26"/>
      <c r="AL8" s="18" t="s">
        <v>33</v>
      </c>
      <c r="AM8" s="24"/>
      <c r="AN8" s="15" t="s">
        <v>30</v>
      </c>
      <c r="AO8" s="18" t="s">
        <v>34</v>
      </c>
      <c r="AP8" s="29"/>
      <c r="AQ8" s="29"/>
      <c r="AR8" s="17"/>
      <c r="AS8" s="17"/>
      <c r="AT8" s="17"/>
      <c r="AU8" s="25"/>
      <c r="AV8" s="21"/>
    </row>
    <row r="9" spans="1:48" s="28" customFormat="1" ht="27.6" customHeight="1">
      <c r="A9" s="753" t="s">
        <v>35</v>
      </c>
      <c r="B9" s="754"/>
      <c r="C9" s="755"/>
      <c r="D9" s="737" t="s">
        <v>36</v>
      </c>
      <c r="E9" s="738"/>
      <c r="F9" s="738"/>
      <c r="G9" s="738"/>
      <c r="H9" s="738"/>
      <c r="I9" s="738"/>
      <c r="J9" s="738"/>
      <c r="K9" s="818" t="e">
        <f>'page 2'!AZ11&amp;", "&amp;'page 2'!AZ12&amp;", "&amp;'page 2'!AZ13&amp;", "&amp;'page 2'!AZ14</f>
        <v>#DIV/0!</v>
      </c>
      <c r="L9" s="819"/>
      <c r="M9" s="819"/>
      <c r="N9" s="819"/>
      <c r="O9" s="819"/>
      <c r="P9" s="820"/>
      <c r="Q9" s="821" t="s">
        <v>37</v>
      </c>
      <c r="R9" s="822"/>
      <c r="S9" s="823"/>
      <c r="T9" s="815" t="str">
        <f>'page 2'!AW5</f>
        <v>Acceptable</v>
      </c>
      <c r="U9" s="816"/>
      <c r="V9" s="816"/>
      <c r="W9" s="816"/>
      <c r="X9" s="817"/>
      <c r="Y9" s="23"/>
      <c r="Z9" s="16" t="s">
        <v>38</v>
      </c>
      <c r="AA9" s="18" t="s">
        <v>39</v>
      </c>
      <c r="AB9" s="24"/>
      <c r="AC9" s="24"/>
      <c r="AD9" s="24"/>
      <c r="AE9" s="24"/>
      <c r="AF9" s="24"/>
      <c r="AG9" s="24"/>
      <c r="AH9" s="24"/>
      <c r="AI9" s="16">
        <v>2</v>
      </c>
      <c r="AJ9" s="17"/>
      <c r="AK9" s="26"/>
      <c r="AL9" s="18"/>
      <c r="AM9" s="18"/>
      <c r="AN9" s="15"/>
      <c r="AO9" s="18"/>
      <c r="AP9" s="17"/>
      <c r="AQ9" s="17"/>
      <c r="AR9" s="29"/>
      <c r="AS9" s="29"/>
      <c r="AT9" s="29"/>
      <c r="AU9" s="25"/>
      <c r="AV9" s="21"/>
    </row>
    <row r="10" spans="1:48" s="28" customFormat="1" ht="27.6" customHeight="1">
      <c r="A10" s="787"/>
      <c r="B10" s="788"/>
      <c r="C10" s="789"/>
      <c r="D10" s="774" t="s">
        <v>40</v>
      </c>
      <c r="E10" s="775"/>
      <c r="F10" s="775"/>
      <c r="G10" s="775"/>
      <c r="H10" s="775"/>
      <c r="I10" s="775"/>
      <c r="J10" s="775"/>
      <c r="K10" s="797" t="e">
        <f>'page 2'!AZ24&amp;", "&amp;'page 2'!AZ25&amp;", "&amp;'page 2'!AZ26&amp;", "&amp;'page 2'!AZ27</f>
        <v>#DIV/0!</v>
      </c>
      <c r="L10" s="798"/>
      <c r="M10" s="798"/>
      <c r="N10" s="798"/>
      <c r="O10" s="798"/>
      <c r="P10" s="824"/>
      <c r="Q10" s="799" t="s">
        <v>37</v>
      </c>
      <c r="R10" s="800"/>
      <c r="S10" s="801"/>
      <c r="T10" s="812" t="str">
        <f>'page 2'!AW18</f>
        <v>Acceptable</v>
      </c>
      <c r="U10" s="813"/>
      <c r="V10" s="813"/>
      <c r="W10" s="813"/>
      <c r="X10" s="814"/>
      <c r="Y10" s="23"/>
      <c r="Z10" s="24"/>
      <c r="AA10" s="18" t="s">
        <v>41</v>
      </c>
      <c r="AB10" s="17"/>
      <c r="AC10" s="24"/>
      <c r="AD10" s="17"/>
      <c r="AE10" s="17"/>
      <c r="AF10" s="17"/>
      <c r="AG10" s="17"/>
      <c r="AH10" s="17"/>
      <c r="AI10" s="25"/>
      <c r="AJ10" s="24"/>
      <c r="AK10" s="26"/>
      <c r="AL10" s="18"/>
      <c r="AM10" s="18"/>
      <c r="AN10" s="15"/>
      <c r="AO10" s="24"/>
      <c r="AP10" s="24"/>
      <c r="AQ10" s="24"/>
      <c r="AR10" s="24"/>
      <c r="AS10" s="24"/>
      <c r="AT10" s="24"/>
      <c r="AU10" s="16"/>
      <c r="AV10" s="21"/>
    </row>
    <row r="11" spans="1:48" s="28" customFormat="1" ht="27.6" customHeight="1">
      <c r="A11" s="787"/>
      <c r="B11" s="788"/>
      <c r="C11" s="789"/>
      <c r="D11" s="774" t="s">
        <v>42</v>
      </c>
      <c r="E11" s="775"/>
      <c r="F11" s="775"/>
      <c r="G11" s="775"/>
      <c r="H11" s="775"/>
      <c r="I11" s="775"/>
      <c r="J11" s="775"/>
      <c r="K11" s="797" t="str">
        <f>'page 2'!AA41</f>
        <v>, 0%</v>
      </c>
      <c r="L11" s="798"/>
      <c r="M11" s="798"/>
      <c r="N11" s="798"/>
      <c r="O11" s="798"/>
      <c r="P11" s="798"/>
      <c r="Q11" s="799" t="s">
        <v>37</v>
      </c>
      <c r="R11" s="800"/>
      <c r="S11" s="801"/>
      <c r="T11" s="812" t="str">
        <f>'page 2'!AW41</f>
        <v>Acceptable</v>
      </c>
      <c r="U11" s="813"/>
      <c r="V11" s="813"/>
      <c r="W11" s="813"/>
      <c r="X11" s="814"/>
      <c r="Y11" s="23"/>
      <c r="Z11" s="16"/>
      <c r="AA11" s="18" t="s">
        <v>43</v>
      </c>
      <c r="AB11" s="17"/>
      <c r="AC11" s="24"/>
      <c r="AD11" s="17"/>
      <c r="AE11" s="17"/>
      <c r="AF11" s="17"/>
      <c r="AG11" s="17"/>
      <c r="AH11" s="17"/>
      <c r="AI11" s="25"/>
      <c r="AJ11" s="17"/>
      <c r="AK11" s="26"/>
      <c r="AL11" s="16"/>
      <c r="AM11" s="18"/>
      <c r="AN11" s="15"/>
      <c r="AO11" s="24"/>
      <c r="AP11" s="17"/>
      <c r="AQ11" s="17"/>
      <c r="AR11" s="17"/>
      <c r="AS11" s="17"/>
      <c r="AT11" s="17"/>
      <c r="AU11" s="25"/>
      <c r="AV11" s="21"/>
    </row>
    <row r="12" spans="1:48" s="28" customFormat="1" ht="27.6" customHeight="1">
      <c r="A12" s="787"/>
      <c r="B12" s="788"/>
      <c r="C12" s="789"/>
      <c r="D12" s="774" t="s">
        <v>44</v>
      </c>
      <c r="E12" s="775"/>
      <c r="F12" s="775"/>
      <c r="G12" s="775"/>
      <c r="H12" s="775"/>
      <c r="I12" s="775"/>
      <c r="J12" s="775"/>
      <c r="K12" s="797" t="str">
        <f>'page 2'!Z64&amp;" "&amp;'page 2'!AB64</f>
        <v xml:space="preserve"> </v>
      </c>
      <c r="L12" s="798"/>
      <c r="M12" s="798"/>
      <c r="N12" s="798"/>
      <c r="O12" s="798"/>
      <c r="P12" s="798"/>
      <c r="Q12" s="799" t="s">
        <v>37</v>
      </c>
      <c r="R12" s="800"/>
      <c r="S12" s="801"/>
      <c r="T12" s="785"/>
      <c r="U12" s="785"/>
      <c r="V12" s="785"/>
      <c r="W12" s="785"/>
      <c r="X12" s="786"/>
      <c r="Y12" s="23"/>
      <c r="Z12" s="16"/>
      <c r="AA12" s="18" t="s">
        <v>45</v>
      </c>
      <c r="AB12" s="24"/>
      <c r="AC12" s="24"/>
      <c r="AD12" s="24"/>
      <c r="AE12" s="24"/>
      <c r="AF12" s="24"/>
      <c r="AG12" s="24"/>
      <c r="AH12" s="24"/>
      <c r="AI12" s="16"/>
      <c r="AJ12" s="17"/>
      <c r="AK12" s="26"/>
      <c r="AL12" s="30"/>
      <c r="AM12" s="18"/>
      <c r="AN12" s="18"/>
      <c r="AO12" s="24"/>
      <c r="AP12" s="24"/>
      <c r="AQ12" s="24"/>
      <c r="AR12" s="24"/>
      <c r="AS12" s="18"/>
      <c r="AT12" s="17"/>
      <c r="AU12" s="25"/>
      <c r="AV12" s="21"/>
    </row>
    <row r="13" spans="1:48" s="28" customFormat="1" ht="27.6" customHeight="1">
      <c r="A13" s="787"/>
      <c r="B13" s="788"/>
      <c r="C13" s="789"/>
      <c r="D13" s="774" t="s">
        <v>46</v>
      </c>
      <c r="E13" s="775"/>
      <c r="F13" s="775"/>
      <c r="G13" s="775"/>
      <c r="H13" s="775"/>
      <c r="I13" s="775"/>
      <c r="J13" s="775"/>
      <c r="K13" s="825">
        <f>'page 2'!AG64</f>
        <v>0</v>
      </c>
      <c r="L13" s="826"/>
      <c r="M13" s="826"/>
      <c r="N13" s="826"/>
      <c r="O13" s="826"/>
      <c r="P13" s="826"/>
      <c r="Q13" s="827" t="s">
        <v>37</v>
      </c>
      <c r="R13" s="828"/>
      <c r="S13" s="829"/>
      <c r="T13" s="785"/>
      <c r="U13" s="785"/>
      <c r="V13" s="785"/>
      <c r="W13" s="785"/>
      <c r="X13" s="786"/>
      <c r="Y13" s="23"/>
      <c r="Z13" s="16"/>
      <c r="AA13" s="24" t="s">
        <v>47</v>
      </c>
      <c r="AB13" s="24"/>
      <c r="AC13" s="24"/>
      <c r="AD13" s="24"/>
      <c r="AE13" s="24"/>
      <c r="AF13" s="24"/>
      <c r="AG13" s="24"/>
      <c r="AH13" s="24"/>
      <c r="AI13" s="25"/>
      <c r="AJ13" s="24"/>
      <c r="AK13" s="26"/>
      <c r="AL13" s="18"/>
      <c r="AM13" s="18"/>
      <c r="AN13" s="18"/>
      <c r="AO13" s="24"/>
      <c r="AP13" s="24"/>
      <c r="AQ13" s="24"/>
      <c r="AR13" s="24"/>
      <c r="AS13" s="18"/>
      <c r="AT13" s="24"/>
      <c r="AU13" s="16"/>
      <c r="AV13" s="21"/>
    </row>
    <row r="14" spans="1:48" s="28" customFormat="1" ht="27.6" customHeight="1">
      <c r="A14" s="756"/>
      <c r="B14" s="757"/>
      <c r="C14" s="758"/>
      <c r="D14" s="712" t="s">
        <v>48</v>
      </c>
      <c r="E14" s="713"/>
      <c r="F14" s="713"/>
      <c r="G14" s="713"/>
      <c r="H14" s="713"/>
      <c r="I14" s="713"/>
      <c r="J14" s="713"/>
      <c r="K14" s="802" t="str">
        <f>'Appendix A'!B31</f>
        <v xml:space="preserve">FWD : X/X/X/X :::::::: X/X/X/X AFT  </v>
      </c>
      <c r="L14" s="803"/>
      <c r="M14" s="803"/>
      <c r="N14" s="803"/>
      <c r="O14" s="803"/>
      <c r="P14" s="803"/>
      <c r="Q14" s="804" t="s">
        <v>37</v>
      </c>
      <c r="R14" s="805"/>
      <c r="S14" s="806"/>
      <c r="T14" s="763"/>
      <c r="U14" s="763"/>
      <c r="V14" s="763"/>
      <c r="W14" s="763"/>
      <c r="X14" s="764"/>
      <c r="Y14" s="23"/>
      <c r="Z14" s="16"/>
      <c r="AA14" s="31"/>
      <c r="AB14" s="17"/>
      <c r="AC14" s="24"/>
      <c r="AD14" s="17"/>
      <c r="AE14" s="17"/>
      <c r="AF14" s="17"/>
      <c r="AG14" s="17"/>
      <c r="AH14" s="17"/>
      <c r="AI14" s="25"/>
      <c r="AJ14" s="17"/>
      <c r="AK14" s="26"/>
      <c r="AL14" s="18"/>
      <c r="AM14" s="18"/>
      <c r="AN14" s="18"/>
      <c r="AO14" s="24"/>
      <c r="AP14" s="24"/>
      <c r="AQ14" s="24"/>
      <c r="AR14" s="24"/>
      <c r="AS14" s="18"/>
      <c r="AT14" s="17"/>
      <c r="AU14" s="25"/>
      <c r="AV14" s="21"/>
    </row>
    <row r="15" spans="1:48" s="28" customFormat="1" ht="27.6" customHeight="1">
      <c r="A15" s="753" t="s">
        <v>49</v>
      </c>
      <c r="B15" s="754"/>
      <c r="C15" s="755"/>
      <c r="D15" s="737" t="s">
        <v>50</v>
      </c>
      <c r="E15" s="738"/>
      <c r="F15" s="738"/>
      <c r="G15" s="738"/>
      <c r="H15" s="738"/>
      <c r="I15" s="738"/>
      <c r="J15" s="738"/>
      <c r="K15" s="739" t="str">
        <f>'page 3'!AE26&amp;" x "&amp;'page 3'!AE27&amp;" m."</f>
        <v>0 x 0 m.</v>
      </c>
      <c r="L15" s="740"/>
      <c r="M15" s="740"/>
      <c r="N15" s="740"/>
      <c r="O15" s="740"/>
      <c r="P15" s="740"/>
      <c r="Q15" s="759" t="s">
        <v>51</v>
      </c>
      <c r="R15" s="742"/>
      <c r="S15" s="743"/>
      <c r="T15" s="810" t="str">
        <f>'page 3'!AB23</f>
        <v>**Unacceptable**</v>
      </c>
      <c r="U15" s="810"/>
      <c r="V15" s="810"/>
      <c r="W15" s="810"/>
      <c r="X15" s="811"/>
      <c r="Y15" s="23"/>
      <c r="Z15" s="16" t="s">
        <v>52</v>
      </c>
      <c r="AA15" s="18" t="s">
        <v>53</v>
      </c>
      <c r="AB15" s="24"/>
      <c r="AC15" s="24"/>
      <c r="AD15" s="24"/>
      <c r="AE15" s="24"/>
      <c r="AF15" s="24"/>
      <c r="AG15" s="24"/>
      <c r="AH15" s="24"/>
      <c r="AI15" s="25">
        <v>2</v>
      </c>
      <c r="AJ15" s="17"/>
      <c r="AK15" s="26"/>
      <c r="AL15" s="18"/>
      <c r="AM15" s="18"/>
      <c r="AN15" s="18"/>
      <c r="AO15" s="24"/>
      <c r="AP15" s="24"/>
      <c r="AQ15" s="24"/>
      <c r="AR15" s="24"/>
      <c r="AS15" s="18"/>
      <c r="AT15" s="17"/>
      <c r="AU15" s="25"/>
      <c r="AV15" s="21"/>
    </row>
    <row r="16" spans="1:48" s="28" customFormat="1" ht="27.6" customHeight="1">
      <c r="A16" s="787"/>
      <c r="B16" s="788"/>
      <c r="C16" s="789"/>
      <c r="D16" s="765" t="s">
        <v>54</v>
      </c>
      <c r="E16" s="766"/>
      <c r="F16" s="766"/>
      <c r="G16" s="766"/>
      <c r="H16" s="766"/>
      <c r="I16" s="766"/>
      <c r="J16" s="766"/>
      <c r="K16" s="767" t="str">
        <f>"Upper "&amp;'page 3'!AE39&amp;" m. , Lower "&amp;'page 3'!AE40&amp;" m."</f>
        <v>Upper 18.7 m. , Lower -12.6 m.</v>
      </c>
      <c r="L16" s="768"/>
      <c r="M16" s="768"/>
      <c r="N16" s="768"/>
      <c r="O16" s="768"/>
      <c r="P16" s="768"/>
      <c r="Q16" s="769" t="s">
        <v>19</v>
      </c>
      <c r="R16" s="770"/>
      <c r="S16" s="771"/>
      <c r="T16" s="772" t="str">
        <f>'page 3'!AA41</f>
        <v>**Unacceptable**</v>
      </c>
      <c r="U16" s="772"/>
      <c r="V16" s="772"/>
      <c r="W16" s="772"/>
      <c r="X16" s="773"/>
      <c r="Y16" s="23"/>
      <c r="Z16" s="16"/>
      <c r="AA16" s="18" t="s">
        <v>55</v>
      </c>
      <c r="AB16" s="17"/>
      <c r="AC16" s="24"/>
      <c r="AD16" s="17"/>
      <c r="AE16" s="17"/>
      <c r="AF16" s="17"/>
      <c r="AG16" s="17"/>
      <c r="AH16" s="17"/>
      <c r="AI16" s="25"/>
      <c r="AJ16" s="17"/>
      <c r="AK16" s="26"/>
      <c r="AL16" s="24"/>
      <c r="AM16" s="18"/>
      <c r="AN16" s="18"/>
      <c r="AO16" s="24"/>
      <c r="AP16" s="24"/>
      <c r="AQ16" s="24"/>
      <c r="AR16" s="24"/>
      <c r="AS16" s="32"/>
      <c r="AT16" s="17"/>
      <c r="AU16" s="25"/>
      <c r="AV16" s="21"/>
    </row>
    <row r="17" spans="1:48" s="28" customFormat="1" ht="27.6" customHeight="1">
      <c r="A17" s="787"/>
      <c r="B17" s="788"/>
      <c r="C17" s="789"/>
      <c r="D17" s="774" t="s">
        <v>56</v>
      </c>
      <c r="E17" s="775"/>
      <c r="F17" s="775"/>
      <c r="G17" s="775"/>
      <c r="H17" s="775"/>
      <c r="I17" s="775"/>
      <c r="J17" s="775"/>
      <c r="K17" s="776">
        <f>'page 4'!Z49</f>
        <v>0</v>
      </c>
      <c r="L17" s="777"/>
      <c r="M17" s="777"/>
      <c r="N17" s="777"/>
      <c r="O17" s="777"/>
      <c r="P17" s="777"/>
      <c r="Q17" s="778" t="s">
        <v>37</v>
      </c>
      <c r="R17" s="779"/>
      <c r="S17" s="780"/>
      <c r="T17" s="785"/>
      <c r="U17" s="785"/>
      <c r="V17" s="785"/>
      <c r="W17" s="785"/>
      <c r="X17" s="786"/>
      <c r="Y17" s="23"/>
      <c r="Z17" s="16"/>
      <c r="AA17" s="18" t="s">
        <v>57</v>
      </c>
      <c r="AB17" s="17"/>
      <c r="AC17" s="24"/>
      <c r="AD17" s="17"/>
      <c r="AE17" s="17"/>
      <c r="AF17" s="17"/>
      <c r="AG17" s="17"/>
      <c r="AH17" s="17"/>
      <c r="AI17" s="25"/>
      <c r="AJ17" s="17"/>
      <c r="AK17" s="26"/>
      <c r="AL17" s="18"/>
      <c r="AM17" s="18"/>
      <c r="AN17" s="18"/>
      <c r="AO17" s="24"/>
      <c r="AP17" s="24"/>
      <c r="AQ17" s="24"/>
      <c r="AR17" s="24"/>
      <c r="AS17" s="18"/>
      <c r="AT17" s="17"/>
      <c r="AU17" s="25"/>
      <c r="AV17" s="21"/>
    </row>
    <row r="18" spans="1:48" s="28" customFormat="1" ht="27.6" customHeight="1">
      <c r="A18" s="787"/>
      <c r="B18" s="788"/>
      <c r="C18" s="789"/>
      <c r="D18" s="774" t="s">
        <v>58</v>
      </c>
      <c r="E18" s="775"/>
      <c r="F18" s="775"/>
      <c r="G18" s="775"/>
      <c r="H18" s="775"/>
      <c r="I18" s="775"/>
      <c r="J18" s="775"/>
      <c r="K18" s="776" t="str">
        <f>'page 4'!Z47&amp;", "&amp;'page 4'!AB47&amp;", "&amp;'page 4'!AD47&amp;", "&amp;'page 4'!AF47</f>
        <v xml:space="preserve">, , , </v>
      </c>
      <c r="L18" s="777"/>
      <c r="M18" s="777"/>
      <c r="N18" s="777"/>
      <c r="O18" s="777"/>
      <c r="P18" s="777"/>
      <c r="Q18" s="778" t="s">
        <v>59</v>
      </c>
      <c r="R18" s="779"/>
      <c r="S18" s="780"/>
      <c r="T18" s="781" t="str">
        <f>'page 4'!AG46</f>
        <v>**Unacceptable**</v>
      </c>
      <c r="U18" s="781"/>
      <c r="V18" s="781"/>
      <c r="W18" s="781"/>
      <c r="X18" s="782"/>
      <c r="Y18" s="23"/>
      <c r="Z18" s="16"/>
      <c r="AA18" s="18" t="s">
        <v>60</v>
      </c>
      <c r="AB18" s="17"/>
      <c r="AC18" s="24"/>
      <c r="AD18" s="17"/>
      <c r="AE18" s="17"/>
      <c r="AF18" s="17"/>
      <c r="AG18" s="17"/>
      <c r="AH18" s="17"/>
      <c r="AI18" s="25"/>
      <c r="AJ18" s="17"/>
      <c r="AK18" s="26"/>
      <c r="AL18" s="18"/>
      <c r="AM18" s="18"/>
      <c r="AN18" s="18"/>
      <c r="AO18" s="24"/>
      <c r="AP18" s="24"/>
      <c r="AQ18" s="24"/>
      <c r="AR18" s="24"/>
      <c r="AS18" s="32"/>
      <c r="AT18" s="17"/>
      <c r="AU18" s="25"/>
      <c r="AV18" s="21"/>
    </row>
    <row r="19" spans="1:48" s="28" customFormat="1" ht="27.6" customHeight="1">
      <c r="A19" s="787"/>
      <c r="B19" s="788"/>
      <c r="C19" s="789"/>
      <c r="D19" s="774" t="s">
        <v>61</v>
      </c>
      <c r="E19" s="775"/>
      <c r="F19" s="775"/>
      <c r="G19" s="775"/>
      <c r="H19" s="775"/>
      <c r="I19" s="775"/>
      <c r="J19" s="775"/>
      <c r="K19" s="783">
        <f>'page 4'!AC56</f>
        <v>0</v>
      </c>
      <c r="L19" s="784"/>
      <c r="M19" s="784"/>
      <c r="N19" s="784"/>
      <c r="O19" s="784"/>
      <c r="P19" s="784"/>
      <c r="Q19" s="778"/>
      <c r="R19" s="779"/>
      <c r="S19" s="780"/>
      <c r="T19" s="785"/>
      <c r="U19" s="785"/>
      <c r="V19" s="785"/>
      <c r="W19" s="785"/>
      <c r="X19" s="786"/>
      <c r="Y19" s="23"/>
      <c r="Z19" s="16"/>
      <c r="AA19" s="18"/>
      <c r="AB19" s="17"/>
      <c r="AC19" s="24"/>
      <c r="AD19" s="17"/>
      <c r="AE19" s="17"/>
      <c r="AF19" s="17"/>
      <c r="AG19" s="17"/>
      <c r="AH19" s="17"/>
      <c r="AI19" s="25"/>
      <c r="AJ19" s="24"/>
      <c r="AK19" s="26"/>
      <c r="AL19" s="18"/>
      <c r="AM19" s="18"/>
      <c r="AN19" s="18"/>
      <c r="AO19" s="24"/>
      <c r="AP19" s="24"/>
      <c r="AQ19" s="24"/>
      <c r="AR19" s="24"/>
      <c r="AS19" s="18"/>
      <c r="AT19" s="24"/>
      <c r="AU19" s="16"/>
      <c r="AV19" s="21"/>
    </row>
    <row r="20" spans="1:48" s="28" customFormat="1" ht="27.6" customHeight="1">
      <c r="A20" s="787"/>
      <c r="B20" s="788"/>
      <c r="C20" s="789"/>
      <c r="D20" s="774" t="s">
        <v>62</v>
      </c>
      <c r="E20" s="775"/>
      <c r="F20" s="775"/>
      <c r="G20" s="775"/>
      <c r="H20" s="775"/>
      <c r="I20" s="775"/>
      <c r="J20" s="775"/>
      <c r="K20" s="776">
        <f>'page 4'!AF56</f>
        <v>0</v>
      </c>
      <c r="L20" s="777"/>
      <c r="M20" s="777"/>
      <c r="N20" s="777"/>
      <c r="O20" s="777"/>
      <c r="P20" s="777"/>
      <c r="Q20" s="807" t="s">
        <v>63</v>
      </c>
      <c r="R20" s="808"/>
      <c r="S20" s="809"/>
      <c r="T20" s="785"/>
      <c r="U20" s="785"/>
      <c r="V20" s="785"/>
      <c r="W20" s="785"/>
      <c r="X20" s="786"/>
      <c r="Y20" s="23"/>
      <c r="Z20" s="16" t="s">
        <v>64</v>
      </c>
      <c r="AA20" s="18" t="s">
        <v>65</v>
      </c>
      <c r="AB20" s="17"/>
      <c r="AC20" s="24"/>
      <c r="AD20" s="17"/>
      <c r="AE20" s="17"/>
      <c r="AF20" s="17"/>
      <c r="AG20" s="17"/>
      <c r="AH20" s="17"/>
      <c r="AI20" s="25">
        <v>3</v>
      </c>
      <c r="AJ20" s="17"/>
      <c r="AK20" s="26"/>
      <c r="AL20" s="18"/>
      <c r="AM20" s="18"/>
      <c r="AN20" s="18"/>
      <c r="AO20" s="24"/>
      <c r="AP20" s="24"/>
      <c r="AQ20" s="24"/>
      <c r="AR20" s="24"/>
      <c r="AS20" s="33"/>
      <c r="AT20" s="17"/>
      <c r="AU20" s="25"/>
      <c r="AV20" s="21"/>
    </row>
    <row r="21" spans="1:48" s="28" customFormat="1" ht="27.6" customHeight="1">
      <c r="A21" s="756"/>
      <c r="B21" s="757"/>
      <c r="C21" s="758"/>
      <c r="D21" s="746" t="s">
        <v>66</v>
      </c>
      <c r="E21" s="747"/>
      <c r="F21" s="747"/>
      <c r="G21" s="747"/>
      <c r="H21" s="747"/>
      <c r="I21" s="747"/>
      <c r="J21" s="747"/>
      <c r="K21" s="748" t="str">
        <f>"Upper "&amp;'page 5'!AE12&amp;" m. , Lower "&amp;'page 5'!AE13&amp;" m."</f>
        <v>Upper 23.5 m. , Lower -18 m.</v>
      </c>
      <c r="L21" s="749"/>
      <c r="M21" s="749"/>
      <c r="N21" s="749"/>
      <c r="O21" s="749"/>
      <c r="P21" s="749"/>
      <c r="Q21" s="750" t="s">
        <v>67</v>
      </c>
      <c r="R21" s="751"/>
      <c r="S21" s="752"/>
      <c r="T21" s="795" t="str">
        <f>'page 5'!AA14</f>
        <v>**Unacceptable**</v>
      </c>
      <c r="U21" s="795"/>
      <c r="V21" s="795"/>
      <c r="W21" s="795"/>
      <c r="X21" s="796"/>
      <c r="Y21" s="23"/>
      <c r="Z21" s="24"/>
      <c r="AA21" s="18" t="s">
        <v>68</v>
      </c>
      <c r="AB21" s="24"/>
      <c r="AC21" s="24"/>
      <c r="AD21" s="24"/>
      <c r="AE21" s="24"/>
      <c r="AF21" s="24"/>
      <c r="AG21" s="24"/>
      <c r="AH21" s="24"/>
      <c r="AI21" s="16"/>
      <c r="AJ21" s="17"/>
      <c r="AK21" s="26"/>
      <c r="AL21" s="16"/>
      <c r="AM21" s="18"/>
      <c r="AN21" s="15"/>
      <c r="AO21" s="24"/>
      <c r="AP21" s="17"/>
      <c r="AQ21" s="17"/>
      <c r="AR21" s="17"/>
      <c r="AS21" s="17"/>
      <c r="AT21" s="17"/>
      <c r="AU21" s="25"/>
      <c r="AV21" s="21"/>
    </row>
    <row r="22" spans="1:48" s="28" customFormat="1" ht="33" customHeight="1">
      <c r="A22" s="753" t="s">
        <v>69</v>
      </c>
      <c r="B22" s="754"/>
      <c r="C22" s="755"/>
      <c r="D22" s="737" t="s">
        <v>70</v>
      </c>
      <c r="E22" s="738"/>
      <c r="F22" s="738"/>
      <c r="G22" s="738"/>
      <c r="H22" s="738"/>
      <c r="I22" s="738"/>
      <c r="J22" s="738"/>
      <c r="K22" s="739">
        <f>'page 5'!Z48</f>
        <v>0</v>
      </c>
      <c r="L22" s="740"/>
      <c r="M22" s="740"/>
      <c r="N22" s="740"/>
      <c r="O22" s="740"/>
      <c r="P22" s="740"/>
      <c r="Q22" s="759" t="s">
        <v>71</v>
      </c>
      <c r="R22" s="742"/>
      <c r="S22" s="743"/>
      <c r="T22" s="760"/>
      <c r="U22" s="760"/>
      <c r="V22" s="760"/>
      <c r="W22" s="760"/>
      <c r="X22" s="761"/>
      <c r="Y22" s="23"/>
      <c r="Z22" s="16"/>
      <c r="AA22" s="18" t="s">
        <v>72</v>
      </c>
      <c r="AB22" s="17"/>
      <c r="AC22" s="24"/>
      <c r="AD22" s="17"/>
      <c r="AE22" s="17"/>
      <c r="AF22" s="17"/>
      <c r="AG22" s="17"/>
      <c r="AH22" s="17"/>
      <c r="AI22" s="25"/>
      <c r="AJ22" s="17"/>
      <c r="AK22" s="26"/>
      <c r="AL22" s="16"/>
      <c r="AM22" s="18"/>
      <c r="AN22" s="15"/>
      <c r="AO22" s="24"/>
      <c r="AP22" s="17"/>
      <c r="AQ22" s="17"/>
      <c r="AR22" s="17"/>
      <c r="AS22" s="17"/>
      <c r="AT22" s="17"/>
      <c r="AU22" s="25"/>
      <c r="AV22" s="21"/>
    </row>
    <row r="23" spans="1:48" s="28" customFormat="1" ht="33" customHeight="1">
      <c r="A23" s="756"/>
      <c r="B23" s="757"/>
      <c r="C23" s="758"/>
      <c r="D23" s="712" t="s">
        <v>73</v>
      </c>
      <c r="E23" s="713"/>
      <c r="F23" s="713"/>
      <c r="G23" s="713"/>
      <c r="H23" s="713"/>
      <c r="I23" s="713"/>
      <c r="J23" s="713"/>
      <c r="K23" s="714">
        <f>'page 5'!Z55</f>
        <v>0</v>
      </c>
      <c r="L23" s="715"/>
      <c r="M23" s="715"/>
      <c r="N23" s="715"/>
      <c r="O23" s="715"/>
      <c r="P23" s="715"/>
      <c r="Q23" s="762" t="s">
        <v>74</v>
      </c>
      <c r="R23" s="717"/>
      <c r="S23" s="718"/>
      <c r="T23" s="763"/>
      <c r="U23" s="763"/>
      <c r="V23" s="763"/>
      <c r="W23" s="763"/>
      <c r="X23" s="764"/>
      <c r="Y23" s="23"/>
      <c r="Z23" s="16"/>
      <c r="AA23" s="18"/>
      <c r="AB23" s="17"/>
      <c r="AC23" s="24"/>
      <c r="AD23" s="17"/>
      <c r="AE23" s="17"/>
      <c r="AF23" s="17"/>
      <c r="AG23" s="17"/>
      <c r="AH23" s="17"/>
      <c r="AI23" s="25"/>
      <c r="AJ23" s="17"/>
      <c r="AK23" s="26"/>
      <c r="AL23" s="24"/>
      <c r="AM23" s="24"/>
      <c r="AN23" s="15"/>
      <c r="AO23" s="24"/>
      <c r="AP23" s="17"/>
      <c r="AQ23" s="17"/>
      <c r="AR23" s="17"/>
      <c r="AS23" s="17"/>
      <c r="AT23" s="17"/>
      <c r="AU23" s="25"/>
      <c r="AV23" s="21"/>
    </row>
    <row r="24" spans="1:48" s="28" customFormat="1" ht="27.6" customHeight="1">
      <c r="A24" s="731" t="s">
        <v>75</v>
      </c>
      <c r="B24" s="732"/>
      <c r="C24" s="733"/>
      <c r="D24" s="737" t="s">
        <v>76</v>
      </c>
      <c r="E24" s="738"/>
      <c r="F24" s="738"/>
      <c r="G24" s="738"/>
      <c r="H24" s="738"/>
      <c r="I24" s="738"/>
      <c r="J24" s="738"/>
      <c r="K24" s="739">
        <f>'page 6'!Y7</f>
        <v>0</v>
      </c>
      <c r="L24" s="740"/>
      <c r="M24" s="740"/>
      <c r="N24" s="740"/>
      <c r="O24" s="740"/>
      <c r="P24" s="740"/>
      <c r="Q24" s="741" t="s">
        <v>77</v>
      </c>
      <c r="R24" s="742"/>
      <c r="S24" s="743"/>
      <c r="T24" s="710" t="str">
        <f>'page 6'!AA7</f>
        <v>Acceptable</v>
      </c>
      <c r="U24" s="710"/>
      <c r="V24" s="710"/>
      <c r="W24" s="710"/>
      <c r="X24" s="711"/>
      <c r="Y24" s="23"/>
      <c r="Z24" s="16" t="s">
        <v>78</v>
      </c>
      <c r="AA24" s="18" t="s">
        <v>79</v>
      </c>
      <c r="AB24" s="17"/>
      <c r="AC24" s="24"/>
      <c r="AD24" s="17"/>
      <c r="AE24" s="17"/>
      <c r="AF24" s="17"/>
      <c r="AG24" s="17"/>
      <c r="AH24" s="17"/>
      <c r="AI24" s="34" t="s">
        <v>80</v>
      </c>
      <c r="AJ24" s="17"/>
      <c r="AK24" s="26"/>
      <c r="AL24" s="16"/>
      <c r="AM24" s="18"/>
      <c r="AN24" s="17"/>
      <c r="AO24" s="24"/>
      <c r="AP24" s="17"/>
      <c r="AQ24" s="17"/>
      <c r="AR24" s="17"/>
      <c r="AS24" s="17"/>
      <c r="AT24" s="17"/>
      <c r="AU24" s="25"/>
      <c r="AV24" s="21"/>
    </row>
    <row r="25" spans="1:48" s="28" customFormat="1" ht="27.6" customHeight="1">
      <c r="A25" s="734"/>
      <c r="B25" s="735"/>
      <c r="C25" s="736"/>
      <c r="D25" s="712" t="s">
        <v>81</v>
      </c>
      <c r="E25" s="713"/>
      <c r="F25" s="713"/>
      <c r="G25" s="713"/>
      <c r="H25" s="713"/>
      <c r="I25" s="713"/>
      <c r="J25" s="713"/>
      <c r="K25" s="714">
        <f>'page 6'!Y15</f>
        <v>0</v>
      </c>
      <c r="L25" s="715"/>
      <c r="M25" s="715"/>
      <c r="N25" s="715"/>
      <c r="O25" s="715"/>
      <c r="P25" s="715"/>
      <c r="Q25" s="716" t="s">
        <v>77</v>
      </c>
      <c r="R25" s="717"/>
      <c r="S25" s="718"/>
      <c r="T25" s="719" t="str">
        <f>'page 6'!AA15</f>
        <v>Acceptable</v>
      </c>
      <c r="U25" s="719"/>
      <c r="V25" s="719"/>
      <c r="W25" s="719"/>
      <c r="X25" s="720"/>
      <c r="Y25" s="23"/>
      <c r="Z25" s="16"/>
      <c r="AA25" s="18" t="s">
        <v>82</v>
      </c>
      <c r="AB25" s="17"/>
      <c r="AC25" s="24"/>
      <c r="AD25" s="17"/>
      <c r="AE25" s="17"/>
      <c r="AF25" s="17"/>
      <c r="AG25" s="17" t="s">
        <v>83</v>
      </c>
      <c r="AH25" s="17"/>
      <c r="AI25" s="25"/>
      <c r="AJ25" s="17"/>
      <c r="AK25" s="26"/>
      <c r="AL25" s="16"/>
      <c r="AM25" s="18"/>
      <c r="AN25" s="17"/>
      <c r="AO25" s="24"/>
      <c r="AP25" s="17"/>
      <c r="AQ25" s="17"/>
      <c r="AR25" s="17"/>
      <c r="AS25" s="17"/>
      <c r="AT25" s="17"/>
      <c r="AU25" s="25"/>
      <c r="AV25" s="21"/>
    </row>
    <row r="26" spans="1:48" s="28" customFormat="1" ht="34.200000000000003" customHeight="1">
      <c r="A26" s="721" t="s">
        <v>84</v>
      </c>
      <c r="B26" s="722"/>
      <c r="C26" s="723"/>
      <c r="D26" s="724" t="s">
        <v>85</v>
      </c>
      <c r="E26" s="725"/>
      <c r="F26" s="725"/>
      <c r="G26" s="725"/>
      <c r="H26" s="725"/>
      <c r="I26" s="725"/>
      <c r="J26" s="725"/>
      <c r="K26" s="726">
        <f>'Appendix B'!I45</f>
        <v>0</v>
      </c>
      <c r="L26" s="727"/>
      <c r="M26" s="727"/>
      <c r="N26" s="727"/>
      <c r="O26" s="727"/>
      <c r="P26" s="727"/>
      <c r="Q26" s="728" t="s">
        <v>86</v>
      </c>
      <c r="R26" s="729"/>
      <c r="S26" s="730"/>
      <c r="T26" s="744"/>
      <c r="U26" s="744"/>
      <c r="V26" s="744"/>
      <c r="W26" s="744"/>
      <c r="X26" s="745"/>
      <c r="Y26" s="23"/>
      <c r="Z26" s="16"/>
      <c r="AA26" s="18" t="s">
        <v>87</v>
      </c>
      <c r="AB26" s="24"/>
      <c r="AC26" s="24"/>
      <c r="AD26" s="24"/>
      <c r="AE26" s="24"/>
      <c r="AF26" s="24"/>
      <c r="AG26" s="24"/>
      <c r="AH26" s="24"/>
      <c r="AI26" s="16"/>
      <c r="AJ26" s="24"/>
      <c r="AK26" s="26"/>
      <c r="AL26" s="16"/>
      <c r="AM26" s="18"/>
      <c r="AN26" s="24"/>
      <c r="AO26" s="24"/>
      <c r="AP26" s="24"/>
      <c r="AQ26" s="24"/>
      <c r="AR26" s="24"/>
      <c r="AS26" s="24"/>
      <c r="AT26" s="24"/>
      <c r="AU26" s="16"/>
      <c r="AV26" s="21"/>
    </row>
    <row r="27" spans="1:48" s="28" customFormat="1" ht="33" customHeight="1">
      <c r="A27" s="662" t="s">
        <v>88</v>
      </c>
      <c r="B27" s="663"/>
      <c r="C27" s="664"/>
      <c r="D27" s="671" t="s">
        <v>89</v>
      </c>
      <c r="E27" s="671"/>
      <c r="F27" s="671"/>
      <c r="G27" s="671"/>
      <c r="H27" s="671"/>
      <c r="I27" s="671"/>
      <c r="J27" s="672"/>
      <c r="K27" s="673">
        <f>'page 3'!AP38</f>
        <v>0</v>
      </c>
      <c r="L27" s="674"/>
      <c r="M27" s="674"/>
      <c r="N27" s="675" t="s">
        <v>90</v>
      </c>
      <c r="O27" s="675"/>
      <c r="P27" s="676"/>
      <c r="Q27" s="677" t="s">
        <v>91</v>
      </c>
      <c r="R27" s="678"/>
      <c r="S27" s="679"/>
      <c r="T27" s="692" t="str">
        <f>'page 3'!AO40</f>
        <v>**Unacceptable**</v>
      </c>
      <c r="U27" s="693"/>
      <c r="V27" s="693"/>
      <c r="W27" s="693"/>
      <c r="X27" s="694"/>
      <c r="Y27" s="23"/>
      <c r="Z27" s="16"/>
      <c r="AA27" s="18" t="s">
        <v>92</v>
      </c>
      <c r="AB27" s="17"/>
      <c r="AC27" s="24"/>
      <c r="AD27" s="17"/>
      <c r="AE27" s="17"/>
      <c r="AF27" s="17"/>
      <c r="AG27" s="17"/>
      <c r="AH27" s="17"/>
      <c r="AI27" s="25"/>
      <c r="AJ27" s="17"/>
      <c r="AK27" s="26"/>
      <c r="AL27" s="16"/>
      <c r="AM27" s="18"/>
      <c r="AN27" s="17"/>
      <c r="AO27" s="24"/>
      <c r="AP27" s="17"/>
      <c r="AQ27" s="17"/>
      <c r="AR27" s="17"/>
      <c r="AS27" s="17"/>
      <c r="AT27" s="17"/>
      <c r="AU27" s="25"/>
      <c r="AV27" s="21"/>
    </row>
    <row r="28" spans="1:48" s="28" customFormat="1" ht="33" customHeight="1">
      <c r="A28" s="665"/>
      <c r="B28" s="666"/>
      <c r="C28" s="667"/>
      <c r="D28" s="704" t="s">
        <v>93</v>
      </c>
      <c r="E28" s="704"/>
      <c r="F28" s="704"/>
      <c r="G28" s="704"/>
      <c r="H28" s="704"/>
      <c r="I28" s="704"/>
      <c r="J28" s="705"/>
      <c r="K28" s="706">
        <f>'page 3'!AS38</f>
        <v>0</v>
      </c>
      <c r="L28" s="707"/>
      <c r="M28" s="707"/>
      <c r="N28" s="708" t="s">
        <v>90</v>
      </c>
      <c r="O28" s="708"/>
      <c r="P28" s="709"/>
      <c r="Q28" s="680"/>
      <c r="R28" s="681"/>
      <c r="S28" s="682"/>
      <c r="T28" s="695"/>
      <c r="U28" s="696"/>
      <c r="V28" s="696"/>
      <c r="W28" s="696"/>
      <c r="X28" s="697"/>
      <c r="Y28" s="23"/>
      <c r="Z28" s="16"/>
      <c r="AA28" s="18" t="s">
        <v>94</v>
      </c>
      <c r="AB28" s="24"/>
      <c r="AC28" s="24"/>
      <c r="AD28" s="24"/>
      <c r="AE28" s="24"/>
      <c r="AF28" s="24"/>
      <c r="AG28" s="24"/>
      <c r="AH28" s="24"/>
      <c r="AI28" s="16"/>
      <c r="AJ28" s="24"/>
      <c r="AK28" s="26"/>
      <c r="AL28" s="16"/>
      <c r="AM28" s="18"/>
      <c r="AN28" s="24"/>
      <c r="AO28" s="24"/>
      <c r="AP28" s="24"/>
      <c r="AQ28" s="24"/>
      <c r="AR28" s="24"/>
      <c r="AS28" s="24"/>
      <c r="AT28" s="24"/>
      <c r="AU28" s="16"/>
      <c r="AV28" s="21"/>
    </row>
    <row r="29" spans="1:48" s="28" customFormat="1" ht="33" customHeight="1">
      <c r="A29" s="665"/>
      <c r="B29" s="666"/>
      <c r="C29" s="667"/>
      <c r="D29" s="704" t="s">
        <v>95</v>
      </c>
      <c r="E29" s="704"/>
      <c r="F29" s="704"/>
      <c r="G29" s="704"/>
      <c r="H29" s="704"/>
      <c r="I29" s="704"/>
      <c r="J29" s="705"/>
      <c r="K29" s="706">
        <f>'page 3'!AP39</f>
        <v>0</v>
      </c>
      <c r="L29" s="707"/>
      <c r="M29" s="707"/>
      <c r="N29" s="708" t="s">
        <v>90</v>
      </c>
      <c r="O29" s="708"/>
      <c r="P29" s="709"/>
      <c r="Q29" s="680"/>
      <c r="R29" s="681"/>
      <c r="S29" s="682"/>
      <c r="T29" s="698" t="str">
        <f>'page 3'!AO41</f>
        <v>**Unacceptable**</v>
      </c>
      <c r="U29" s="699"/>
      <c r="V29" s="699"/>
      <c r="W29" s="699"/>
      <c r="X29" s="700"/>
      <c r="Y29" s="23"/>
      <c r="Z29" s="16"/>
      <c r="AA29" s="18" t="s">
        <v>96</v>
      </c>
      <c r="AB29" s="17"/>
      <c r="AC29" s="24"/>
      <c r="AD29" s="17"/>
      <c r="AE29" s="17"/>
      <c r="AF29" s="17"/>
      <c r="AG29" s="17"/>
      <c r="AH29" s="17"/>
      <c r="AI29" s="25"/>
      <c r="AJ29" s="17"/>
      <c r="AK29" s="26"/>
      <c r="AL29" s="16"/>
      <c r="AM29" s="18"/>
      <c r="AN29" s="17"/>
      <c r="AO29" s="24"/>
      <c r="AP29" s="17"/>
      <c r="AQ29" s="17"/>
      <c r="AR29" s="17"/>
      <c r="AS29" s="17"/>
      <c r="AT29" s="17"/>
      <c r="AU29" s="25"/>
      <c r="AV29" s="21"/>
    </row>
    <row r="30" spans="1:48" s="28" customFormat="1" ht="33" customHeight="1">
      <c r="A30" s="668"/>
      <c r="B30" s="669"/>
      <c r="C30" s="670"/>
      <c r="D30" s="686" t="s">
        <v>97</v>
      </c>
      <c r="E30" s="686"/>
      <c r="F30" s="686"/>
      <c r="G30" s="686"/>
      <c r="H30" s="686"/>
      <c r="I30" s="686"/>
      <c r="J30" s="687"/>
      <c r="K30" s="688">
        <f>'page 3'!AS39</f>
        <v>0</v>
      </c>
      <c r="L30" s="689"/>
      <c r="M30" s="689"/>
      <c r="N30" s="690" t="s">
        <v>90</v>
      </c>
      <c r="O30" s="690"/>
      <c r="P30" s="691"/>
      <c r="Q30" s="683"/>
      <c r="R30" s="684"/>
      <c r="S30" s="685"/>
      <c r="T30" s="701"/>
      <c r="U30" s="702"/>
      <c r="V30" s="702"/>
      <c r="W30" s="702"/>
      <c r="X30" s="703"/>
      <c r="Y30" s="38"/>
      <c r="Z30" s="39"/>
      <c r="AA30" s="40"/>
      <c r="AB30" s="41"/>
      <c r="AD30" s="41"/>
      <c r="AE30" s="41"/>
      <c r="AF30" s="41"/>
      <c r="AG30" s="41"/>
      <c r="AH30" s="41"/>
      <c r="AI30" s="42"/>
      <c r="AJ30" s="41"/>
      <c r="AK30" s="43"/>
      <c r="AL30" s="39"/>
      <c r="AM30" s="40"/>
      <c r="AN30" s="41"/>
      <c r="AP30" s="41"/>
      <c r="AQ30" s="41"/>
      <c r="AR30" s="41"/>
      <c r="AS30" s="41"/>
      <c r="AT30" s="41"/>
      <c r="AU30" s="42"/>
      <c r="AV30" s="44"/>
    </row>
    <row r="31" spans="1:48" s="28" customFormat="1" ht="15" customHeight="1">
      <c r="A31" s="653" t="s">
        <v>98</v>
      </c>
      <c r="B31" s="654"/>
      <c r="C31" s="654"/>
      <c r="D31" s="654"/>
      <c r="E31" s="654"/>
      <c r="F31" s="654"/>
      <c r="G31" s="654"/>
      <c r="H31" s="654"/>
      <c r="I31" s="654"/>
      <c r="J31" s="654"/>
      <c r="K31" s="654"/>
      <c r="L31" s="654"/>
      <c r="M31" s="654"/>
      <c r="N31" s="654"/>
      <c r="O31" s="654"/>
      <c r="P31" s="654"/>
      <c r="Q31" s="654"/>
      <c r="R31" s="654"/>
      <c r="S31" s="654"/>
      <c r="T31" s="654"/>
      <c r="U31" s="654"/>
      <c r="V31" s="654"/>
      <c r="W31" s="654"/>
      <c r="X31" s="655"/>
      <c r="Y31" s="38"/>
      <c r="Z31" s="39" t="s">
        <v>99</v>
      </c>
      <c r="AA31" s="40" t="s">
        <v>100</v>
      </c>
      <c r="AB31" s="41"/>
      <c r="AD31" s="41"/>
      <c r="AE31" s="41"/>
      <c r="AF31" s="41"/>
      <c r="AG31" s="41"/>
      <c r="AH31" s="41"/>
      <c r="AI31" s="42">
        <v>5</v>
      </c>
      <c r="AK31" s="43"/>
      <c r="AU31" s="39"/>
      <c r="AV31" s="44"/>
    </row>
    <row r="32" spans="1:48" s="28" customFormat="1" ht="15" customHeight="1">
      <c r="A32" s="656"/>
      <c r="B32" s="657"/>
      <c r="C32" s="657"/>
      <c r="D32" s="657"/>
      <c r="E32" s="657"/>
      <c r="F32" s="657"/>
      <c r="G32" s="657"/>
      <c r="H32" s="657"/>
      <c r="I32" s="657"/>
      <c r="J32" s="657"/>
      <c r="K32" s="657"/>
      <c r="L32" s="657"/>
      <c r="M32" s="657"/>
      <c r="N32" s="657"/>
      <c r="O32" s="657"/>
      <c r="P32" s="657"/>
      <c r="Q32" s="657"/>
      <c r="R32" s="657"/>
      <c r="S32" s="657"/>
      <c r="T32" s="657"/>
      <c r="U32" s="657"/>
      <c r="V32" s="657"/>
      <c r="W32" s="657"/>
      <c r="X32" s="658"/>
      <c r="Y32" s="38"/>
      <c r="Z32" s="39"/>
      <c r="AA32" s="40" t="s">
        <v>101</v>
      </c>
      <c r="AB32" s="41"/>
      <c r="AD32" s="41"/>
      <c r="AE32" s="41"/>
      <c r="AF32" s="41"/>
      <c r="AG32" s="41"/>
      <c r="AH32" s="41"/>
      <c r="AI32" s="42"/>
      <c r="AJ32" s="41"/>
      <c r="AK32" s="43"/>
      <c r="AL32" s="39"/>
      <c r="AM32" s="40"/>
      <c r="AN32" s="41"/>
      <c r="AP32" s="41"/>
      <c r="AQ32" s="41"/>
      <c r="AR32" s="41"/>
      <c r="AS32" s="41"/>
      <c r="AT32" s="41"/>
      <c r="AU32" s="42"/>
      <c r="AV32" s="44"/>
    </row>
    <row r="33" spans="1:48" s="28" customFormat="1" ht="15" customHeight="1">
      <c r="A33" s="659"/>
      <c r="B33" s="660"/>
      <c r="C33" s="660"/>
      <c r="D33" s="660"/>
      <c r="E33" s="660"/>
      <c r="F33" s="660"/>
      <c r="G33" s="660"/>
      <c r="H33" s="660"/>
      <c r="I33" s="660"/>
      <c r="J33" s="660"/>
      <c r="K33" s="660"/>
      <c r="L33" s="660"/>
      <c r="M33" s="660"/>
      <c r="N33" s="660"/>
      <c r="O33" s="660"/>
      <c r="P33" s="660"/>
      <c r="Q33" s="660"/>
      <c r="R33" s="660"/>
      <c r="S33" s="660"/>
      <c r="T33" s="660"/>
      <c r="U33" s="660"/>
      <c r="V33" s="660"/>
      <c r="W33" s="660"/>
      <c r="X33" s="661"/>
      <c r="Y33" s="38"/>
      <c r="Z33" s="39"/>
      <c r="AA33" s="40" t="s">
        <v>102</v>
      </c>
      <c r="AB33" s="41"/>
      <c r="AD33" s="41"/>
      <c r="AE33" s="41"/>
      <c r="AF33" s="41"/>
      <c r="AG33" s="41"/>
      <c r="AH33" s="41"/>
      <c r="AI33" s="42"/>
      <c r="AJ33" s="41"/>
      <c r="AK33" s="43"/>
      <c r="AL33" s="39"/>
      <c r="AM33" s="40"/>
      <c r="AN33" s="41"/>
      <c r="AP33" s="41"/>
      <c r="AQ33" s="41"/>
      <c r="AR33" s="41"/>
      <c r="AS33" s="41"/>
      <c r="AT33" s="41"/>
      <c r="AU33" s="42"/>
      <c r="AV33" s="44"/>
    </row>
    <row r="34" spans="1:48" s="28" customFormat="1" ht="15" customHeight="1">
      <c r="A34" s="623"/>
      <c r="B34" s="616"/>
      <c r="C34" s="617"/>
      <c r="D34" s="624"/>
      <c r="E34" s="625"/>
      <c r="F34" s="625"/>
      <c r="G34" s="625"/>
      <c r="H34" s="625"/>
      <c r="I34" s="625"/>
      <c r="J34" s="626"/>
      <c r="K34" s="624"/>
      <c r="L34" s="625"/>
      <c r="M34" s="625"/>
      <c r="N34" s="625"/>
      <c r="O34" s="625"/>
      <c r="P34" s="625"/>
      <c r="Q34" s="627"/>
      <c r="R34" s="628"/>
      <c r="S34" s="629"/>
      <c r="T34" s="630"/>
      <c r="U34" s="630"/>
      <c r="V34" s="630"/>
      <c r="W34" s="630"/>
      <c r="X34" s="615"/>
      <c r="Y34" s="38"/>
      <c r="Z34" s="39"/>
      <c r="AA34" s="40" t="s">
        <v>103</v>
      </c>
      <c r="AB34" s="41"/>
      <c r="AD34" s="41"/>
      <c r="AE34" s="41"/>
      <c r="AF34" s="41"/>
      <c r="AG34" s="41"/>
      <c r="AH34" s="41"/>
      <c r="AI34" s="42"/>
      <c r="AJ34" s="41"/>
      <c r="AK34" s="43"/>
      <c r="AL34" s="39"/>
      <c r="AM34" s="40"/>
      <c r="AN34" s="41"/>
      <c r="AP34" s="41"/>
      <c r="AQ34" s="41"/>
      <c r="AR34" s="41"/>
      <c r="AS34" s="41"/>
      <c r="AT34" s="41"/>
      <c r="AU34" s="42"/>
      <c r="AV34" s="44"/>
    </row>
    <row r="35" spans="1:48" s="28" customFormat="1" ht="15" customHeight="1">
      <c r="A35" s="623"/>
      <c r="B35" s="616"/>
      <c r="C35" s="617"/>
      <c r="D35" s="624"/>
      <c r="E35" s="625"/>
      <c r="F35" s="625"/>
      <c r="G35" s="625"/>
      <c r="H35" s="625"/>
      <c r="I35" s="625"/>
      <c r="J35" s="626"/>
      <c r="K35" s="624"/>
      <c r="L35" s="625"/>
      <c r="M35" s="625"/>
      <c r="N35" s="625"/>
      <c r="O35" s="625"/>
      <c r="P35" s="625"/>
      <c r="Q35" s="627"/>
      <c r="R35" s="628"/>
      <c r="S35" s="629"/>
      <c r="T35" s="630"/>
      <c r="U35" s="630"/>
      <c r="V35" s="630"/>
      <c r="W35" s="630"/>
      <c r="X35" s="615"/>
      <c r="Y35" s="38"/>
      <c r="Z35" s="39"/>
      <c r="AA35" s="40" t="s">
        <v>104</v>
      </c>
      <c r="AB35" s="41"/>
      <c r="AD35" s="41"/>
      <c r="AE35" s="41"/>
      <c r="AF35" s="41"/>
      <c r="AG35" s="41"/>
      <c r="AH35" s="41"/>
      <c r="AI35" s="42"/>
      <c r="AJ35" s="41"/>
      <c r="AK35" s="43"/>
      <c r="AL35" s="39"/>
      <c r="AM35" s="40"/>
      <c r="AN35" s="41"/>
      <c r="AP35" s="41"/>
      <c r="AQ35" s="41"/>
      <c r="AR35" s="41"/>
      <c r="AS35" s="41"/>
      <c r="AT35" s="41"/>
      <c r="AU35" s="42"/>
      <c r="AV35" s="44"/>
    </row>
    <row r="36" spans="1:48" s="28" customFormat="1" ht="15" customHeight="1">
      <c r="A36" s="623"/>
      <c r="B36" s="616"/>
      <c r="C36" s="617"/>
      <c r="D36" s="624"/>
      <c r="E36" s="625"/>
      <c r="F36" s="625"/>
      <c r="G36" s="625"/>
      <c r="H36" s="625"/>
      <c r="I36" s="625"/>
      <c r="J36" s="626"/>
      <c r="K36" s="624"/>
      <c r="L36" s="625"/>
      <c r="M36" s="625"/>
      <c r="N36" s="625"/>
      <c r="O36" s="625"/>
      <c r="P36" s="625"/>
      <c r="Q36" s="627"/>
      <c r="R36" s="628"/>
      <c r="S36" s="629"/>
      <c r="T36" s="630"/>
      <c r="U36" s="630"/>
      <c r="V36" s="630"/>
      <c r="W36" s="630"/>
      <c r="X36" s="615"/>
      <c r="Y36" s="38"/>
      <c r="Z36" s="39"/>
      <c r="AA36" s="40"/>
      <c r="AB36" s="41"/>
      <c r="AD36" s="41"/>
      <c r="AE36" s="41"/>
      <c r="AF36" s="41"/>
      <c r="AG36" s="41"/>
      <c r="AH36" s="41"/>
      <c r="AI36" s="42"/>
      <c r="AJ36" s="41"/>
      <c r="AK36" s="43"/>
      <c r="AL36" s="39"/>
      <c r="AM36" s="40"/>
      <c r="AN36" s="41"/>
      <c r="AP36" s="41"/>
      <c r="AQ36" s="41"/>
      <c r="AR36" s="41"/>
      <c r="AS36" s="41"/>
      <c r="AT36" s="41"/>
      <c r="AU36" s="42"/>
      <c r="AV36" s="44"/>
    </row>
    <row r="37" spans="1:48" s="28" customFormat="1" ht="15" customHeight="1">
      <c r="A37" s="623"/>
      <c r="B37" s="616"/>
      <c r="C37" s="617"/>
      <c r="D37" s="624"/>
      <c r="E37" s="625"/>
      <c r="F37" s="625"/>
      <c r="G37" s="625"/>
      <c r="H37" s="625"/>
      <c r="I37" s="625"/>
      <c r="J37" s="626"/>
      <c r="K37" s="624"/>
      <c r="L37" s="625"/>
      <c r="M37" s="625"/>
      <c r="N37" s="625"/>
      <c r="O37" s="625"/>
      <c r="P37" s="625"/>
      <c r="Q37" s="627"/>
      <c r="R37" s="628"/>
      <c r="S37" s="629"/>
      <c r="T37" s="630"/>
      <c r="U37" s="630"/>
      <c r="V37" s="630"/>
      <c r="W37" s="630"/>
      <c r="X37" s="615"/>
      <c r="Y37" s="38"/>
      <c r="Z37" s="46" t="s">
        <v>105</v>
      </c>
      <c r="AA37" s="47" t="s">
        <v>106</v>
      </c>
      <c r="AI37" s="39">
        <v>6</v>
      </c>
      <c r="AJ37" s="41"/>
      <c r="AK37" s="43"/>
      <c r="AN37" s="41"/>
      <c r="AP37" s="41"/>
      <c r="AQ37" s="41"/>
      <c r="AR37" s="41"/>
      <c r="AS37" s="41"/>
      <c r="AT37" s="41"/>
      <c r="AU37" s="42"/>
      <c r="AV37" s="44"/>
    </row>
    <row r="38" spans="1:48" s="28" customFormat="1" ht="15" customHeight="1">
      <c r="A38" s="623"/>
      <c r="B38" s="616"/>
      <c r="C38" s="617"/>
      <c r="D38" s="624"/>
      <c r="E38" s="625"/>
      <c r="F38" s="625"/>
      <c r="G38" s="625"/>
      <c r="H38" s="625"/>
      <c r="I38" s="625"/>
      <c r="J38" s="626"/>
      <c r="K38" s="624"/>
      <c r="L38" s="625"/>
      <c r="M38" s="625"/>
      <c r="N38" s="625"/>
      <c r="O38" s="625"/>
      <c r="P38" s="625"/>
      <c r="Q38" s="627"/>
      <c r="R38" s="628"/>
      <c r="S38" s="629"/>
      <c r="T38" s="630"/>
      <c r="U38" s="630"/>
      <c r="V38" s="630"/>
      <c r="W38" s="630"/>
      <c r="X38" s="615"/>
      <c r="Y38" s="38"/>
      <c r="Z38" s="46"/>
      <c r="AA38" s="28" t="s">
        <v>107</v>
      </c>
      <c r="AB38" s="41"/>
      <c r="AD38" s="41"/>
      <c r="AE38" s="41"/>
      <c r="AF38" s="41"/>
      <c r="AG38" s="41"/>
      <c r="AH38" s="41"/>
      <c r="AI38" s="42"/>
      <c r="AJ38" s="41"/>
      <c r="AK38" s="43"/>
      <c r="AL38" s="39"/>
      <c r="AM38" s="40"/>
      <c r="AN38" s="41"/>
      <c r="AP38" s="41"/>
      <c r="AQ38" s="41"/>
      <c r="AR38" s="41"/>
      <c r="AS38" s="41"/>
      <c r="AT38" s="41"/>
      <c r="AU38" s="42"/>
      <c r="AV38" s="44"/>
    </row>
    <row r="39" spans="1:48" s="28" customFormat="1" ht="15" customHeight="1">
      <c r="A39" s="623"/>
      <c r="B39" s="616"/>
      <c r="C39" s="617"/>
      <c r="D39" s="624"/>
      <c r="E39" s="625"/>
      <c r="F39" s="625"/>
      <c r="G39" s="625"/>
      <c r="H39" s="625"/>
      <c r="I39" s="625"/>
      <c r="J39" s="626"/>
      <c r="K39" s="624"/>
      <c r="L39" s="625"/>
      <c r="M39" s="625"/>
      <c r="N39" s="625"/>
      <c r="O39" s="625"/>
      <c r="P39" s="625"/>
      <c r="Q39" s="627"/>
      <c r="R39" s="628"/>
      <c r="S39" s="629"/>
      <c r="T39" s="630"/>
      <c r="U39" s="630"/>
      <c r="V39" s="630"/>
      <c r="W39" s="630"/>
      <c r="X39" s="615"/>
      <c r="Y39" s="38"/>
      <c r="Z39" s="46"/>
      <c r="AA39" s="28" t="s">
        <v>108</v>
      </c>
      <c r="AI39" s="39"/>
      <c r="AJ39" s="41"/>
      <c r="AK39" s="43"/>
      <c r="AL39" s="39"/>
      <c r="AM39" s="40"/>
      <c r="AN39" s="41"/>
      <c r="AP39" s="41"/>
      <c r="AQ39" s="41"/>
      <c r="AR39" s="41"/>
      <c r="AS39" s="41"/>
      <c r="AT39" s="41"/>
      <c r="AU39" s="42"/>
      <c r="AV39" s="44"/>
    </row>
    <row r="40" spans="1:48" s="28" customFormat="1" ht="15" customHeight="1">
      <c r="A40" s="623"/>
      <c r="B40" s="616"/>
      <c r="C40" s="617"/>
      <c r="D40" s="624"/>
      <c r="E40" s="625"/>
      <c r="F40" s="625"/>
      <c r="G40" s="625"/>
      <c r="H40" s="625"/>
      <c r="I40" s="625"/>
      <c r="J40" s="626"/>
      <c r="K40" s="624"/>
      <c r="L40" s="625"/>
      <c r="M40" s="625"/>
      <c r="N40" s="625"/>
      <c r="O40" s="625"/>
      <c r="P40" s="625"/>
      <c r="Q40" s="627"/>
      <c r="R40" s="628"/>
      <c r="S40" s="629"/>
      <c r="T40" s="630"/>
      <c r="U40" s="630"/>
      <c r="V40" s="630"/>
      <c r="W40" s="630"/>
      <c r="X40" s="615"/>
      <c r="Y40" s="38"/>
      <c r="Z40" s="46"/>
      <c r="AA40" s="28" t="s">
        <v>109</v>
      </c>
      <c r="AB40" s="41"/>
      <c r="AD40" s="41"/>
      <c r="AE40" s="41"/>
      <c r="AF40" s="41"/>
      <c r="AG40" s="41"/>
      <c r="AH40" s="41"/>
      <c r="AI40" s="42"/>
      <c r="AJ40" s="41"/>
      <c r="AK40" s="43"/>
      <c r="AL40" s="39"/>
      <c r="AM40" s="40"/>
      <c r="AN40" s="41"/>
      <c r="AP40" s="41"/>
      <c r="AQ40" s="41"/>
      <c r="AR40" s="41"/>
      <c r="AS40" s="41"/>
      <c r="AT40" s="41"/>
      <c r="AU40" s="42"/>
      <c r="AV40" s="44"/>
    </row>
    <row r="41" spans="1:48" s="28" customFormat="1" ht="15" customHeight="1">
      <c r="A41" s="623"/>
      <c r="B41" s="616"/>
      <c r="C41" s="617"/>
      <c r="D41" s="624"/>
      <c r="E41" s="625"/>
      <c r="F41" s="625"/>
      <c r="G41" s="625"/>
      <c r="H41" s="625"/>
      <c r="I41" s="625"/>
      <c r="J41" s="626"/>
      <c r="K41" s="624"/>
      <c r="L41" s="625"/>
      <c r="M41" s="625"/>
      <c r="N41" s="625"/>
      <c r="O41" s="625"/>
      <c r="P41" s="625"/>
      <c r="Q41" s="627"/>
      <c r="R41" s="628"/>
      <c r="S41" s="629"/>
      <c r="T41" s="630"/>
      <c r="U41" s="630"/>
      <c r="V41" s="630"/>
      <c r="W41" s="630"/>
      <c r="X41" s="615"/>
      <c r="Y41" s="38"/>
      <c r="Z41" s="46"/>
      <c r="AA41" s="28" t="s">
        <v>110</v>
      </c>
      <c r="AB41" s="41"/>
      <c r="AD41" s="41"/>
      <c r="AE41" s="41"/>
      <c r="AF41" s="41"/>
      <c r="AG41" s="41"/>
      <c r="AH41" s="41"/>
      <c r="AI41" s="42"/>
      <c r="AJ41" s="41"/>
      <c r="AK41" s="43"/>
      <c r="AN41" s="41"/>
      <c r="AP41" s="41"/>
      <c r="AQ41" s="41"/>
      <c r="AR41" s="41"/>
      <c r="AS41" s="41"/>
      <c r="AT41" s="41"/>
      <c r="AU41" s="42"/>
      <c r="AV41" s="44"/>
    </row>
    <row r="42" spans="1:48" s="28" customFormat="1" ht="15" customHeight="1">
      <c r="A42" s="623"/>
      <c r="B42" s="616"/>
      <c r="C42" s="617"/>
      <c r="D42" s="624"/>
      <c r="E42" s="625"/>
      <c r="F42" s="625"/>
      <c r="G42" s="625"/>
      <c r="H42" s="625"/>
      <c r="I42" s="625"/>
      <c r="J42" s="626"/>
      <c r="K42" s="624"/>
      <c r="L42" s="625"/>
      <c r="M42" s="625"/>
      <c r="N42" s="625"/>
      <c r="O42" s="625"/>
      <c r="P42" s="625"/>
      <c r="Q42" s="627"/>
      <c r="R42" s="628"/>
      <c r="S42" s="629"/>
      <c r="T42" s="630"/>
      <c r="U42" s="630"/>
      <c r="V42" s="630"/>
      <c r="W42" s="630"/>
      <c r="X42" s="615"/>
      <c r="Y42" s="38"/>
      <c r="Z42" s="46"/>
      <c r="AA42" s="47"/>
      <c r="AB42" s="41"/>
      <c r="AD42" s="41"/>
      <c r="AE42" s="41"/>
      <c r="AF42" s="41"/>
      <c r="AG42" s="41"/>
      <c r="AH42" s="41"/>
      <c r="AI42" s="42"/>
      <c r="AK42" s="43"/>
      <c r="AL42" s="46"/>
      <c r="AM42" s="47"/>
      <c r="AU42" s="39"/>
      <c r="AV42" s="44"/>
    </row>
    <row r="43" spans="1:48" s="28" customFormat="1" ht="15" customHeight="1">
      <c r="A43" s="623"/>
      <c r="B43" s="616"/>
      <c r="C43" s="617"/>
      <c r="D43" s="624"/>
      <c r="E43" s="625"/>
      <c r="F43" s="625"/>
      <c r="G43" s="625"/>
      <c r="H43" s="625"/>
      <c r="I43" s="625"/>
      <c r="J43" s="626"/>
      <c r="K43" s="624"/>
      <c r="L43" s="625"/>
      <c r="M43" s="625"/>
      <c r="N43" s="625"/>
      <c r="O43" s="625"/>
      <c r="P43" s="625"/>
      <c r="Q43" s="627"/>
      <c r="R43" s="628"/>
      <c r="S43" s="629"/>
      <c r="T43" s="630"/>
      <c r="U43" s="630"/>
      <c r="V43" s="630"/>
      <c r="W43" s="630"/>
      <c r="X43" s="615"/>
      <c r="Y43" s="38"/>
      <c r="AB43" s="41"/>
      <c r="AD43" s="41"/>
      <c r="AE43" s="41"/>
      <c r="AF43" s="41"/>
      <c r="AG43" s="41"/>
      <c r="AH43" s="41"/>
      <c r="AI43" s="42"/>
      <c r="AJ43" s="41"/>
      <c r="AK43" s="43"/>
      <c r="AL43" s="39"/>
      <c r="AM43" s="47"/>
      <c r="AN43" s="41"/>
      <c r="AP43" s="41"/>
      <c r="AQ43" s="41"/>
      <c r="AR43" s="41"/>
      <c r="AS43" s="41"/>
      <c r="AT43" s="41"/>
      <c r="AU43" s="42"/>
      <c r="AV43" s="44"/>
    </row>
    <row r="44" spans="1:48" s="49" customFormat="1" ht="15" customHeight="1">
      <c r="A44" s="642"/>
      <c r="B44" s="643"/>
      <c r="C44" s="644"/>
      <c r="D44" s="645"/>
      <c r="E44" s="646"/>
      <c r="F44" s="646"/>
      <c r="G44" s="646"/>
      <c r="H44" s="646"/>
      <c r="I44" s="646"/>
      <c r="J44" s="647"/>
      <c r="K44" s="645"/>
      <c r="L44" s="646"/>
      <c r="M44" s="646"/>
      <c r="N44" s="646"/>
      <c r="O44" s="646"/>
      <c r="P44" s="646"/>
      <c r="Q44" s="648"/>
      <c r="R44" s="649"/>
      <c r="S44" s="650"/>
      <c r="T44" s="651"/>
      <c r="U44" s="651"/>
      <c r="V44" s="651"/>
      <c r="W44" s="651"/>
      <c r="X44" s="652"/>
      <c r="Y44" s="48"/>
      <c r="Z44" s="46" t="s">
        <v>111</v>
      </c>
      <c r="AA44" s="40" t="s">
        <v>112</v>
      </c>
      <c r="AB44" s="28"/>
      <c r="AC44" s="28"/>
      <c r="AD44" s="28"/>
      <c r="AE44" s="28"/>
      <c r="AF44" s="28"/>
      <c r="AG44" s="28"/>
      <c r="AH44" s="28"/>
      <c r="AI44" s="42">
        <v>6</v>
      </c>
      <c r="AK44" s="50"/>
      <c r="AL44" s="51"/>
      <c r="AM44" s="52"/>
      <c r="AU44" s="51"/>
      <c r="AV44" s="53"/>
    </row>
    <row r="45" spans="1:48" s="49" customFormat="1" ht="15" customHeight="1">
      <c r="A45" s="642"/>
      <c r="B45" s="643"/>
      <c r="C45" s="644"/>
      <c r="D45" s="645"/>
      <c r="E45" s="646"/>
      <c r="F45" s="646"/>
      <c r="G45" s="646"/>
      <c r="H45" s="646"/>
      <c r="I45" s="646"/>
      <c r="J45" s="647"/>
      <c r="K45" s="645"/>
      <c r="L45" s="646"/>
      <c r="M45" s="646"/>
      <c r="N45" s="646"/>
      <c r="O45" s="646"/>
      <c r="P45" s="646"/>
      <c r="Q45" s="648"/>
      <c r="R45" s="649"/>
      <c r="S45" s="650"/>
      <c r="T45" s="651"/>
      <c r="U45" s="651"/>
      <c r="V45" s="651"/>
      <c r="W45" s="651"/>
      <c r="X45" s="652"/>
      <c r="Y45" s="48"/>
      <c r="Z45" s="51"/>
      <c r="AJ45" s="54"/>
      <c r="AK45" s="50"/>
      <c r="AL45" s="51"/>
      <c r="AM45" s="52"/>
      <c r="AN45" s="54"/>
      <c r="AP45" s="54"/>
      <c r="AQ45" s="54"/>
      <c r="AR45" s="54"/>
      <c r="AS45" s="54"/>
      <c r="AT45" s="54"/>
      <c r="AU45" s="55"/>
      <c r="AV45" s="53"/>
    </row>
    <row r="46" spans="1:48" s="28" customFormat="1" ht="15" customHeight="1">
      <c r="A46" s="623"/>
      <c r="B46" s="616"/>
      <c r="C46" s="617"/>
      <c r="D46" s="624"/>
      <c r="E46" s="625"/>
      <c r="F46" s="625"/>
      <c r="G46" s="625"/>
      <c r="H46" s="625"/>
      <c r="I46" s="625"/>
      <c r="J46" s="626"/>
      <c r="K46" s="624"/>
      <c r="L46" s="625"/>
      <c r="M46" s="625"/>
      <c r="N46" s="625"/>
      <c r="O46" s="625"/>
      <c r="P46" s="625"/>
      <c r="Q46" s="627"/>
      <c r="R46" s="628"/>
      <c r="S46" s="629"/>
      <c r="T46" s="630"/>
      <c r="U46" s="630"/>
      <c r="V46" s="630"/>
      <c r="W46" s="630"/>
      <c r="X46" s="615"/>
      <c r="Y46" s="38"/>
      <c r="Z46" s="39"/>
      <c r="AA46" s="47"/>
      <c r="AB46" s="41"/>
      <c r="AD46" s="41"/>
      <c r="AE46" s="41"/>
      <c r="AF46" s="41"/>
      <c r="AG46" s="41"/>
      <c r="AH46" s="41"/>
      <c r="AI46" s="42"/>
      <c r="AJ46" s="41"/>
      <c r="AK46" s="43"/>
      <c r="AL46" s="39"/>
      <c r="AM46" s="47"/>
      <c r="AN46" s="41"/>
      <c r="AP46" s="41"/>
      <c r="AQ46" s="41"/>
      <c r="AR46" s="41"/>
      <c r="AS46" s="41"/>
      <c r="AT46" s="41"/>
      <c r="AU46" s="42"/>
      <c r="AV46" s="44"/>
    </row>
    <row r="47" spans="1:48" s="28" customFormat="1" ht="15" customHeight="1">
      <c r="A47" s="623"/>
      <c r="B47" s="616"/>
      <c r="C47" s="617"/>
      <c r="D47" s="624"/>
      <c r="E47" s="625"/>
      <c r="F47" s="625"/>
      <c r="G47" s="625"/>
      <c r="H47" s="625"/>
      <c r="I47" s="625"/>
      <c r="J47" s="626"/>
      <c r="K47" s="624"/>
      <c r="L47" s="625"/>
      <c r="M47" s="625"/>
      <c r="N47" s="625"/>
      <c r="O47" s="625"/>
      <c r="P47" s="625"/>
      <c r="Q47" s="627"/>
      <c r="R47" s="628"/>
      <c r="S47" s="629"/>
      <c r="T47" s="630"/>
      <c r="U47" s="630"/>
      <c r="V47" s="630"/>
      <c r="W47" s="630"/>
      <c r="X47" s="615"/>
      <c r="Y47" s="38"/>
      <c r="Z47" s="39"/>
      <c r="AB47" s="41"/>
      <c r="AD47" s="41"/>
      <c r="AE47" s="41"/>
      <c r="AF47" s="41"/>
      <c r="AG47" s="41"/>
      <c r="AH47" s="41"/>
      <c r="AI47" s="42"/>
      <c r="AK47" s="43"/>
      <c r="AL47" s="39"/>
      <c r="AU47" s="39"/>
      <c r="AV47" s="44"/>
    </row>
    <row r="48" spans="1:48" s="28" customFormat="1" ht="15" customHeight="1">
      <c r="A48" s="623"/>
      <c r="B48" s="616"/>
      <c r="C48" s="617"/>
      <c r="D48" s="624"/>
      <c r="E48" s="625"/>
      <c r="F48" s="625"/>
      <c r="G48" s="625"/>
      <c r="H48" s="625"/>
      <c r="I48" s="625"/>
      <c r="J48" s="626"/>
      <c r="K48" s="624"/>
      <c r="L48" s="625"/>
      <c r="M48" s="625"/>
      <c r="N48" s="625"/>
      <c r="O48" s="625"/>
      <c r="P48" s="625"/>
      <c r="Q48" s="627"/>
      <c r="R48" s="628"/>
      <c r="S48" s="629"/>
      <c r="T48" s="630"/>
      <c r="U48" s="630"/>
      <c r="V48" s="630"/>
      <c r="W48" s="630"/>
      <c r="X48" s="615"/>
      <c r="Y48" s="38"/>
      <c r="Z48" s="39"/>
      <c r="AI48" s="39"/>
      <c r="AJ48" s="41"/>
      <c r="AK48" s="43"/>
      <c r="AL48" s="39"/>
      <c r="AN48" s="41"/>
      <c r="AP48" s="41"/>
      <c r="AQ48" s="41"/>
      <c r="AR48" s="41"/>
      <c r="AS48" s="41"/>
      <c r="AT48" s="41"/>
      <c r="AU48" s="42"/>
      <c r="AV48" s="44"/>
    </row>
    <row r="49" spans="1:48" s="28" customFormat="1" ht="15" customHeight="1">
      <c r="A49" s="623"/>
      <c r="B49" s="616"/>
      <c r="C49" s="617"/>
      <c r="D49" s="624"/>
      <c r="E49" s="625"/>
      <c r="F49" s="625"/>
      <c r="G49" s="625"/>
      <c r="H49" s="625"/>
      <c r="I49" s="625"/>
      <c r="J49" s="626"/>
      <c r="K49" s="624"/>
      <c r="L49" s="625"/>
      <c r="M49" s="625"/>
      <c r="N49" s="625"/>
      <c r="O49" s="625"/>
      <c r="P49" s="625"/>
      <c r="Q49" s="627"/>
      <c r="R49" s="628"/>
      <c r="S49" s="629"/>
      <c r="T49" s="630"/>
      <c r="U49" s="630"/>
      <c r="V49" s="630"/>
      <c r="W49" s="630"/>
      <c r="X49" s="615"/>
      <c r="Y49" s="38"/>
      <c r="Z49" s="39"/>
      <c r="AB49" s="41"/>
      <c r="AD49" s="41"/>
      <c r="AE49" s="41"/>
      <c r="AF49" s="41"/>
      <c r="AG49" s="41"/>
      <c r="AH49" s="41"/>
      <c r="AI49" s="42"/>
      <c r="AK49" s="43"/>
      <c r="AL49" s="39"/>
      <c r="AU49" s="39"/>
      <c r="AV49" s="44"/>
    </row>
    <row r="50" spans="1:48" s="28" customFormat="1" ht="15" customHeight="1">
      <c r="A50" s="623"/>
      <c r="B50" s="616"/>
      <c r="C50" s="617"/>
      <c r="D50" s="624"/>
      <c r="E50" s="625"/>
      <c r="F50" s="625"/>
      <c r="G50" s="625"/>
      <c r="H50" s="625"/>
      <c r="I50" s="625"/>
      <c r="J50" s="626"/>
      <c r="K50" s="624"/>
      <c r="L50" s="625"/>
      <c r="M50" s="625"/>
      <c r="N50" s="625"/>
      <c r="O50" s="625"/>
      <c r="P50" s="625"/>
      <c r="Q50" s="627"/>
      <c r="R50" s="628"/>
      <c r="S50" s="629"/>
      <c r="T50" s="630"/>
      <c r="U50" s="630"/>
      <c r="V50" s="630"/>
      <c r="W50" s="630"/>
      <c r="X50" s="615"/>
      <c r="Y50" s="38"/>
      <c r="Z50" s="39"/>
      <c r="AI50" s="39"/>
      <c r="AK50" s="43"/>
      <c r="AL50" s="39"/>
      <c r="AU50" s="39"/>
      <c r="AV50" s="44"/>
    </row>
    <row r="51" spans="1:48" s="28" customFormat="1" ht="15" customHeight="1">
      <c r="A51" s="631"/>
      <c r="B51" s="632"/>
      <c r="C51" s="633"/>
      <c r="D51" s="634"/>
      <c r="E51" s="635"/>
      <c r="F51" s="635"/>
      <c r="G51" s="635"/>
      <c r="H51" s="635"/>
      <c r="I51" s="635"/>
      <c r="J51" s="636"/>
      <c r="K51" s="634"/>
      <c r="L51" s="635"/>
      <c r="M51" s="635"/>
      <c r="N51" s="635"/>
      <c r="O51" s="635"/>
      <c r="P51" s="635"/>
      <c r="Q51" s="637"/>
      <c r="R51" s="638"/>
      <c r="S51" s="639"/>
      <c r="T51" s="640"/>
      <c r="U51" s="640"/>
      <c r="V51" s="640"/>
      <c r="W51" s="640"/>
      <c r="X51" s="641"/>
      <c r="Y51" s="58"/>
      <c r="Z51" s="57"/>
      <c r="AA51" s="59"/>
      <c r="AB51" s="60"/>
      <c r="AC51" s="61"/>
      <c r="AD51" s="61"/>
      <c r="AE51" s="61"/>
      <c r="AF51" s="61"/>
      <c r="AG51" s="61"/>
      <c r="AH51" s="61"/>
      <c r="AI51" s="61"/>
      <c r="AJ51" s="61"/>
      <c r="AK51" s="62"/>
      <c r="AL51" s="61"/>
      <c r="AM51" s="61"/>
      <c r="AN51" s="57"/>
      <c r="AO51" s="57"/>
      <c r="AP51" s="57"/>
      <c r="AQ51" s="57"/>
      <c r="AR51" s="57"/>
      <c r="AS51" s="57"/>
      <c r="AT51" s="57"/>
      <c r="AU51" s="57"/>
      <c r="AV51" s="63"/>
    </row>
    <row r="52" spans="1:48">
      <c r="AA52" s="65"/>
      <c r="AB52" s="66"/>
    </row>
    <row r="53" spans="1:48">
      <c r="AA53" s="65"/>
      <c r="AB53" s="66"/>
    </row>
    <row r="54" spans="1:48">
      <c r="AA54" s="65"/>
      <c r="AB54" s="66"/>
    </row>
    <row r="55" spans="1:48">
      <c r="AA55" s="65"/>
      <c r="AB55" s="66"/>
    </row>
    <row r="56" spans="1:48">
      <c r="AA56" s="65"/>
      <c r="AB56" s="66"/>
    </row>
    <row r="57" spans="1:48">
      <c r="AA57" s="65"/>
      <c r="AB57" s="66"/>
    </row>
    <row r="58" spans="1:48">
      <c r="AA58" s="65"/>
    </row>
    <row r="59" spans="1:48">
      <c r="AA59" s="65"/>
    </row>
    <row r="60" spans="1:48">
      <c r="AA60" s="65"/>
    </row>
    <row r="61" spans="1:48">
      <c r="AA61" s="65"/>
    </row>
    <row r="62" spans="1:48">
      <c r="AA62" s="65"/>
      <c r="AB62" s="66"/>
    </row>
    <row r="63" spans="1:48">
      <c r="AB63" s="66"/>
    </row>
    <row r="68" spans="28:28">
      <c r="AB68" s="66"/>
    </row>
    <row r="69" spans="28:28">
      <c r="AB69" s="66"/>
    </row>
    <row r="70" spans="28:28">
      <c r="AB70" s="66"/>
    </row>
    <row r="71" spans="28:28">
      <c r="AB71" s="66"/>
    </row>
    <row r="72" spans="28:28">
      <c r="AB72" s="66"/>
    </row>
    <row r="73" spans="28:28">
      <c r="AB73" s="66"/>
    </row>
    <row r="74" spans="28:28">
      <c r="AB74" s="66"/>
    </row>
    <row r="75" spans="28:28">
      <c r="AB75" s="66"/>
    </row>
    <row r="76" spans="28:28">
      <c r="AB76" s="66"/>
    </row>
    <row r="77" spans="28:28">
      <c r="AB77" s="66"/>
    </row>
    <row r="78" spans="28:28">
      <c r="AB78" s="66"/>
    </row>
    <row r="79" spans="28:28">
      <c r="AB79" s="66"/>
    </row>
  </sheetData>
  <sheetProtection selectLockedCells="1"/>
  <mergeCells count="210">
    <mergeCell ref="D6:J6"/>
    <mergeCell ref="K6:P6"/>
    <mergeCell ref="Q6:S6"/>
    <mergeCell ref="T6:X6"/>
    <mergeCell ref="D7:J7"/>
    <mergeCell ref="K7:P7"/>
    <mergeCell ref="Q7:S7"/>
    <mergeCell ref="T7:X7"/>
    <mergeCell ref="D8:J8"/>
    <mergeCell ref="K8:P8"/>
    <mergeCell ref="Q8:S8"/>
    <mergeCell ref="T8:X8"/>
    <mergeCell ref="A1:AS1"/>
    <mergeCell ref="A2:AR2"/>
    <mergeCell ref="A3:X3"/>
    <mergeCell ref="Y3:AV3"/>
    <mergeCell ref="A4:C4"/>
    <mergeCell ref="D4:J4"/>
    <mergeCell ref="K4:P4"/>
    <mergeCell ref="Q4:S4"/>
    <mergeCell ref="T4:X4"/>
    <mergeCell ref="T10:X10"/>
    <mergeCell ref="T11:X11"/>
    <mergeCell ref="T9:X9"/>
    <mergeCell ref="A9:C14"/>
    <mergeCell ref="D9:J9"/>
    <mergeCell ref="K9:P9"/>
    <mergeCell ref="Q9:S9"/>
    <mergeCell ref="D10:J10"/>
    <mergeCell ref="K10:P10"/>
    <mergeCell ref="Q10:S10"/>
    <mergeCell ref="D13:J13"/>
    <mergeCell ref="K13:P13"/>
    <mergeCell ref="Q13:S13"/>
    <mergeCell ref="D11:J11"/>
    <mergeCell ref="K11:P11"/>
    <mergeCell ref="Q11:S11"/>
    <mergeCell ref="A5:C8"/>
    <mergeCell ref="D5:J5"/>
    <mergeCell ref="K5:P5"/>
    <mergeCell ref="Q5:S5"/>
    <mergeCell ref="T5:X5"/>
    <mergeCell ref="T21:X21"/>
    <mergeCell ref="D12:J12"/>
    <mergeCell ref="K12:P12"/>
    <mergeCell ref="Q12:S12"/>
    <mergeCell ref="T12:X12"/>
    <mergeCell ref="T13:X13"/>
    <mergeCell ref="D14:J14"/>
    <mergeCell ref="K14:P14"/>
    <mergeCell ref="Q14:S14"/>
    <mergeCell ref="D20:J20"/>
    <mergeCell ref="K20:P20"/>
    <mergeCell ref="Q20:S20"/>
    <mergeCell ref="T20:X20"/>
    <mergeCell ref="T14:X14"/>
    <mergeCell ref="A15:C21"/>
    <mergeCell ref="D15:J15"/>
    <mergeCell ref="K15:P15"/>
    <mergeCell ref="Q15:S15"/>
    <mergeCell ref="T15:X15"/>
    <mergeCell ref="D16:J16"/>
    <mergeCell ref="K16:P16"/>
    <mergeCell ref="Q16:S16"/>
    <mergeCell ref="T16:X16"/>
    <mergeCell ref="D17:J17"/>
    <mergeCell ref="K17:P17"/>
    <mergeCell ref="Q17:S17"/>
    <mergeCell ref="T18:X18"/>
    <mergeCell ref="D19:J19"/>
    <mergeCell ref="K19:P19"/>
    <mergeCell ref="Q19:S19"/>
    <mergeCell ref="T19:X19"/>
    <mergeCell ref="T17:X17"/>
    <mergeCell ref="D18:J18"/>
    <mergeCell ref="K18:P18"/>
    <mergeCell ref="Q18:S18"/>
    <mergeCell ref="D21:J21"/>
    <mergeCell ref="K21:P21"/>
    <mergeCell ref="Q21:S21"/>
    <mergeCell ref="A22:C23"/>
    <mergeCell ref="D22:J22"/>
    <mergeCell ref="K22:P22"/>
    <mergeCell ref="Q22:S22"/>
    <mergeCell ref="T22:X22"/>
    <mergeCell ref="D23:J23"/>
    <mergeCell ref="K23:P23"/>
    <mergeCell ref="Q23:S23"/>
    <mergeCell ref="T23:X23"/>
    <mergeCell ref="T24:X24"/>
    <mergeCell ref="D25:J25"/>
    <mergeCell ref="K25:P25"/>
    <mergeCell ref="Q25:S25"/>
    <mergeCell ref="T25:X25"/>
    <mergeCell ref="A26:C26"/>
    <mergeCell ref="D26:J26"/>
    <mergeCell ref="K26:P26"/>
    <mergeCell ref="Q26:S26"/>
    <mergeCell ref="A24:C25"/>
    <mergeCell ref="D24:J24"/>
    <mergeCell ref="K24:P24"/>
    <mergeCell ref="Q24:S24"/>
    <mergeCell ref="T26:X26"/>
    <mergeCell ref="A27:C30"/>
    <mergeCell ref="D27:J27"/>
    <mergeCell ref="K27:M27"/>
    <mergeCell ref="N27:P27"/>
    <mergeCell ref="Q27:S30"/>
    <mergeCell ref="D30:J30"/>
    <mergeCell ref="K30:M30"/>
    <mergeCell ref="N30:P30"/>
    <mergeCell ref="T27:X28"/>
    <mergeCell ref="T29:X30"/>
    <mergeCell ref="D28:J28"/>
    <mergeCell ref="K28:M28"/>
    <mergeCell ref="N28:P28"/>
    <mergeCell ref="D29:J29"/>
    <mergeCell ref="K29:M29"/>
    <mergeCell ref="N29:P29"/>
    <mergeCell ref="A31:X33"/>
    <mergeCell ref="A34:C34"/>
    <mergeCell ref="D34:J34"/>
    <mergeCell ref="K34:P34"/>
    <mergeCell ref="Q34:S34"/>
    <mergeCell ref="T34:X34"/>
    <mergeCell ref="A37:C37"/>
    <mergeCell ref="D37:J37"/>
    <mergeCell ref="K37:P37"/>
    <mergeCell ref="Q37:S37"/>
    <mergeCell ref="T37:X37"/>
    <mergeCell ref="A35:C35"/>
    <mergeCell ref="D35:J35"/>
    <mergeCell ref="K35:P35"/>
    <mergeCell ref="Q35:S35"/>
    <mergeCell ref="T35:X35"/>
    <mergeCell ref="A36:C36"/>
    <mergeCell ref="D36:J36"/>
    <mergeCell ref="K36:P36"/>
    <mergeCell ref="Q36:S36"/>
    <mergeCell ref="T36:X36"/>
    <mergeCell ref="A38:C38"/>
    <mergeCell ref="D38:J38"/>
    <mergeCell ref="K38:P38"/>
    <mergeCell ref="Q38:S38"/>
    <mergeCell ref="T38:X38"/>
    <mergeCell ref="A39:C39"/>
    <mergeCell ref="D39:J39"/>
    <mergeCell ref="K39:P39"/>
    <mergeCell ref="Q39:S39"/>
    <mergeCell ref="T39:X39"/>
    <mergeCell ref="A40:C40"/>
    <mergeCell ref="D40:J40"/>
    <mergeCell ref="K40:P40"/>
    <mergeCell ref="Q40:S40"/>
    <mergeCell ref="T40:X40"/>
    <mergeCell ref="A41:C41"/>
    <mergeCell ref="D41:J41"/>
    <mergeCell ref="K41:P41"/>
    <mergeCell ref="Q41:S41"/>
    <mergeCell ref="T41:X41"/>
    <mergeCell ref="A42:C42"/>
    <mergeCell ref="D42:J42"/>
    <mergeCell ref="K42:P42"/>
    <mergeCell ref="Q42:S42"/>
    <mergeCell ref="T42:X42"/>
    <mergeCell ref="A43:C43"/>
    <mergeCell ref="D43:J43"/>
    <mergeCell ref="K43:P43"/>
    <mergeCell ref="Q43:S43"/>
    <mergeCell ref="T43:X43"/>
    <mergeCell ref="A44:C44"/>
    <mergeCell ref="D44:J44"/>
    <mergeCell ref="K44:P44"/>
    <mergeCell ref="Q44:S44"/>
    <mergeCell ref="T44:X44"/>
    <mergeCell ref="A45:C45"/>
    <mergeCell ref="D45:J45"/>
    <mergeCell ref="K45:P45"/>
    <mergeCell ref="Q45:S45"/>
    <mergeCell ref="T45:X45"/>
    <mergeCell ref="A46:C46"/>
    <mergeCell ref="D46:J46"/>
    <mergeCell ref="K46:P46"/>
    <mergeCell ref="Q46:S46"/>
    <mergeCell ref="T46:X46"/>
    <mergeCell ref="A47:C47"/>
    <mergeCell ref="D47:J47"/>
    <mergeCell ref="K47:P47"/>
    <mergeCell ref="Q47:S47"/>
    <mergeCell ref="T47:X47"/>
    <mergeCell ref="A48:C48"/>
    <mergeCell ref="D48:J48"/>
    <mergeCell ref="K48:P48"/>
    <mergeCell ref="Q48:S48"/>
    <mergeCell ref="T48:X48"/>
    <mergeCell ref="A49:C49"/>
    <mergeCell ref="D49:J49"/>
    <mergeCell ref="K49:P49"/>
    <mergeCell ref="Q49:S49"/>
    <mergeCell ref="T49:X49"/>
    <mergeCell ref="A50:C50"/>
    <mergeCell ref="D50:J50"/>
    <mergeCell ref="K50:P50"/>
    <mergeCell ref="Q50:S50"/>
    <mergeCell ref="T50:X50"/>
    <mergeCell ref="A51:C51"/>
    <mergeCell ref="D51:J51"/>
    <mergeCell ref="K51:P51"/>
    <mergeCell ref="Q51:S51"/>
    <mergeCell ref="T51:X51"/>
  </mergeCells>
  <conditionalFormatting sqref="T9:X26 T27 T29">
    <cfRule type="containsText" dxfId="43" priority="1" operator="containsText" text="Un">
      <formula>NOT(ISERROR(SEARCH("Un",T9)))</formula>
    </cfRule>
  </conditionalFormatting>
  <printOptions horizontalCentered="1"/>
  <pageMargins left="0.25" right="0.22" top="0.39370078740157499" bottom="0.23" header="0" footer="0"/>
  <pageSetup paperSize="9" scale="44" orientation="landscape" r:id="rId1"/>
  <headerFooter alignWithMargins="0">
    <oddHeader>&amp;LPELNG-F-MO.T2-0026 Rev. 00&amp;C&amp;REffective Date: 22/04/2026</oddHeader>
    <oddFooter>&amp;L&amp;C&amp;R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05799-8051-44B5-A792-079538839BEF}">
  <dimension ref="A1:BG78"/>
  <sheetViews>
    <sheetView view="pageBreakPreview" topLeftCell="M1" zoomScale="85" zoomScaleNormal="40" zoomScaleSheetLayoutView="85" zoomScalePageLayoutView="77" workbookViewId="0">
      <selection activeCell="AB23" sqref="AB23"/>
    </sheetView>
  </sheetViews>
  <sheetFormatPr defaultColWidth="9.109375" defaultRowHeight="13.8"/>
  <cols>
    <col min="1" max="1" width="6.6640625" style="177" customWidth="1"/>
    <col min="2" max="4" width="6.6640625" style="15" customWidth="1"/>
    <col min="5" max="5" width="3" style="15" customWidth="1"/>
    <col min="6" max="6" width="3" style="18" customWidth="1"/>
    <col min="7" max="12" width="6.6640625" style="18" customWidth="1"/>
    <col min="13" max="13" width="11.109375" style="18" customWidth="1"/>
    <col min="14" max="19" width="6.6640625" style="18" customWidth="1"/>
    <col min="20" max="20" width="3" style="18" customWidth="1"/>
    <col min="21" max="21" width="3" style="15" customWidth="1"/>
    <col min="22" max="24" width="6.6640625" style="18" customWidth="1"/>
    <col min="25" max="25" width="4.6640625" style="18" customWidth="1"/>
    <col min="26" max="26" width="10.88671875" style="18" customWidth="1"/>
    <col min="27" max="27" width="5.33203125" style="18" customWidth="1"/>
    <col min="28" max="28" width="6.6640625" style="18" customWidth="1"/>
    <col min="29" max="29" width="12.77734375" style="18" customWidth="1"/>
    <col min="30" max="30" width="13.77734375" style="18" customWidth="1"/>
    <col min="31" max="32" width="6.6640625" style="18" customWidth="1"/>
    <col min="33" max="34" width="6.6640625" style="15" customWidth="1"/>
    <col min="35" max="35" width="15.44140625" style="15" customWidth="1"/>
    <col min="36" max="38" width="6.33203125" style="15" customWidth="1"/>
    <col min="39" max="41" width="2.33203125" style="15" customWidth="1"/>
    <col min="42" max="49" width="6.33203125" style="15" customWidth="1"/>
    <col min="50" max="53" width="9.109375" style="15" customWidth="1"/>
    <col min="54" max="16384" width="9.109375" style="15"/>
  </cols>
  <sheetData>
    <row r="1" spans="1:59" ht="24.9" customHeight="1">
      <c r="A1" s="830" t="s">
        <v>6</v>
      </c>
      <c r="B1" s="831"/>
      <c r="C1" s="831"/>
      <c r="D1" s="831"/>
      <c r="E1" s="831"/>
      <c r="F1" s="831"/>
      <c r="G1" s="831"/>
      <c r="H1" s="831"/>
      <c r="I1" s="831"/>
      <c r="J1" s="831"/>
      <c r="K1" s="831"/>
      <c r="L1" s="831"/>
      <c r="M1" s="831"/>
      <c r="N1" s="831"/>
      <c r="O1" s="831"/>
      <c r="P1" s="831"/>
      <c r="Q1" s="831"/>
      <c r="R1" s="831"/>
      <c r="S1" s="831"/>
      <c r="T1" s="831"/>
      <c r="U1" s="831"/>
      <c r="V1" s="831"/>
      <c r="W1" s="831"/>
      <c r="X1" s="831"/>
      <c r="Y1" s="831"/>
      <c r="Z1" s="831"/>
      <c r="AA1" s="831"/>
      <c r="AB1" s="831"/>
      <c r="AC1" s="831"/>
      <c r="AD1" s="831"/>
      <c r="AE1" s="831"/>
      <c r="AF1" s="831"/>
      <c r="AG1" s="831"/>
      <c r="AH1" s="831"/>
      <c r="AI1" s="831"/>
      <c r="AJ1" s="831"/>
      <c r="AK1" s="831"/>
      <c r="AL1" s="831"/>
      <c r="AM1" s="831"/>
      <c r="AN1" s="831"/>
      <c r="AO1" s="831"/>
      <c r="AP1" s="831"/>
      <c r="AQ1" s="831"/>
      <c r="AR1" s="831"/>
      <c r="AS1" s="831"/>
      <c r="AT1" s="832"/>
      <c r="AU1" s="6"/>
      <c r="AV1" s="7" t="s">
        <v>7</v>
      </c>
      <c r="AW1" s="8"/>
    </row>
    <row r="2" spans="1:59" ht="24.9" customHeight="1">
      <c r="A2" s="833"/>
      <c r="B2" s="834"/>
      <c r="C2" s="834"/>
      <c r="D2" s="834"/>
      <c r="E2" s="834"/>
      <c r="F2" s="834"/>
      <c r="G2" s="834"/>
      <c r="H2" s="834"/>
      <c r="I2" s="834"/>
      <c r="J2" s="834"/>
      <c r="K2" s="834"/>
      <c r="L2" s="834"/>
      <c r="M2" s="834"/>
      <c r="N2" s="834"/>
      <c r="O2" s="834"/>
      <c r="P2" s="834"/>
      <c r="Q2" s="834"/>
      <c r="R2" s="834"/>
      <c r="S2" s="834"/>
      <c r="T2" s="834"/>
      <c r="U2" s="834"/>
      <c r="V2" s="834"/>
      <c r="W2" s="834"/>
      <c r="X2" s="834"/>
      <c r="Y2" s="834"/>
      <c r="Z2" s="834"/>
      <c r="AA2" s="834"/>
      <c r="AB2" s="834"/>
      <c r="AC2" s="834"/>
      <c r="AD2" s="834"/>
      <c r="AE2" s="834"/>
      <c r="AF2" s="834"/>
      <c r="AG2" s="834"/>
      <c r="AH2" s="834"/>
      <c r="AI2" s="834"/>
      <c r="AJ2" s="834"/>
      <c r="AK2" s="834"/>
      <c r="AL2" s="834"/>
      <c r="AM2" s="834"/>
      <c r="AN2" s="834"/>
      <c r="AO2" s="834"/>
      <c r="AP2" s="834"/>
      <c r="AQ2" s="834"/>
      <c r="AR2" s="834"/>
      <c r="AS2" s="834"/>
      <c r="AT2" s="10"/>
      <c r="AU2" s="11"/>
      <c r="AV2" s="12" t="s">
        <v>113</v>
      </c>
      <c r="AW2" s="13"/>
    </row>
    <row r="3" spans="1:59" s="67" customFormat="1" ht="36.9" customHeight="1">
      <c r="A3" s="867" t="s">
        <v>114</v>
      </c>
      <c r="B3" s="843"/>
      <c r="C3" s="843"/>
      <c r="D3" s="843"/>
      <c r="E3" s="843"/>
      <c r="F3" s="868"/>
      <c r="G3" s="869" t="s">
        <v>115</v>
      </c>
      <c r="H3" s="843"/>
      <c r="I3" s="843"/>
      <c r="J3" s="843"/>
      <c r="K3" s="843"/>
      <c r="L3" s="843"/>
      <c r="M3" s="843"/>
      <c r="N3" s="843"/>
      <c r="O3" s="843"/>
      <c r="P3" s="843"/>
      <c r="Q3" s="843"/>
      <c r="R3" s="843"/>
      <c r="S3" s="843"/>
      <c r="T3" s="843"/>
      <c r="U3" s="868"/>
      <c r="V3" s="869" t="s">
        <v>116</v>
      </c>
      <c r="W3" s="843"/>
      <c r="X3" s="843"/>
      <c r="Y3" s="843"/>
      <c r="Z3" s="843"/>
      <c r="AA3" s="843"/>
      <c r="AB3" s="843"/>
      <c r="AC3" s="843"/>
      <c r="AD3" s="843"/>
      <c r="AE3" s="843"/>
      <c r="AF3" s="843"/>
      <c r="AG3" s="843"/>
      <c r="AH3" s="843"/>
      <c r="AI3" s="868"/>
      <c r="AJ3" s="867" t="s">
        <v>117</v>
      </c>
      <c r="AK3" s="843"/>
      <c r="AL3" s="843"/>
      <c r="AM3" s="843"/>
      <c r="AN3" s="843"/>
      <c r="AO3" s="843"/>
      <c r="AP3" s="843"/>
      <c r="AQ3" s="843"/>
      <c r="AR3" s="843"/>
      <c r="AS3" s="843"/>
      <c r="AT3" s="843"/>
      <c r="AU3" s="843"/>
      <c r="AV3" s="843"/>
      <c r="AW3" s="868"/>
    </row>
    <row r="4" spans="1:59" s="69" customFormat="1" ht="15" customHeight="1">
      <c r="A4" s="870" t="s">
        <v>118</v>
      </c>
      <c r="B4" s="871"/>
      <c r="C4" s="871"/>
      <c r="D4" s="871"/>
      <c r="E4" s="871"/>
      <c r="F4" s="871"/>
      <c r="G4" s="871"/>
      <c r="H4" s="871"/>
      <c r="I4" s="871"/>
      <c r="J4" s="871"/>
      <c r="K4" s="871"/>
      <c r="L4" s="871"/>
      <c r="M4" s="871"/>
      <c r="N4" s="871"/>
      <c r="O4" s="871"/>
      <c r="P4" s="871"/>
      <c r="Q4" s="871"/>
      <c r="R4" s="871"/>
      <c r="S4" s="871"/>
      <c r="T4" s="871"/>
      <c r="U4" s="871"/>
      <c r="V4" s="871"/>
      <c r="W4" s="871"/>
      <c r="X4" s="871"/>
      <c r="Y4" s="871"/>
      <c r="Z4" s="871"/>
      <c r="AA4" s="871"/>
      <c r="AB4" s="871"/>
      <c r="AC4" s="871"/>
      <c r="AD4" s="871"/>
      <c r="AE4" s="871"/>
      <c r="AF4" s="871"/>
      <c r="AG4" s="871"/>
      <c r="AH4" s="871"/>
      <c r="AI4" s="871"/>
      <c r="AJ4" s="871"/>
      <c r="AK4" s="871"/>
      <c r="AL4" s="871"/>
      <c r="AM4" s="871"/>
      <c r="AN4" s="871"/>
      <c r="AO4" s="871"/>
      <c r="AP4" s="871"/>
      <c r="AQ4" s="871"/>
      <c r="AR4" s="871"/>
      <c r="AS4" s="871"/>
      <c r="AT4" s="871"/>
      <c r="AU4" s="871"/>
      <c r="AV4" s="871"/>
      <c r="AW4" s="871"/>
      <c r="AX4" s="30"/>
    </row>
    <row r="5" spans="1:59" s="69" customFormat="1" ht="15" customHeight="1">
      <c r="A5" s="70"/>
      <c r="B5" s="24"/>
      <c r="C5" s="24"/>
      <c r="D5" s="24"/>
      <c r="E5" s="24"/>
      <c r="F5" s="24"/>
      <c r="G5" s="68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68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872"/>
      <c r="AK5" s="873"/>
      <c r="AL5" s="608"/>
      <c r="AM5" s="608"/>
      <c r="AN5" s="608"/>
      <c r="AO5" s="608"/>
      <c r="AP5" s="608"/>
      <c r="AQ5" s="295"/>
      <c r="AR5" s="295"/>
      <c r="AS5" s="178"/>
      <c r="AT5" s="178"/>
      <c r="AU5" s="181"/>
      <c r="AV5" s="609"/>
      <c r="AW5" s="477"/>
      <c r="AX5" s="30"/>
    </row>
    <row r="6" spans="1:59" s="69" customFormat="1" ht="15" customHeight="1">
      <c r="A6" s="73" t="s">
        <v>119</v>
      </c>
      <c r="B6" s="18"/>
      <c r="C6" s="18"/>
      <c r="D6" s="18"/>
      <c r="E6" s="18"/>
      <c r="F6" s="72"/>
      <c r="G6" s="30" t="s">
        <v>120</v>
      </c>
      <c r="H6" s="18"/>
      <c r="I6" s="18"/>
      <c r="J6" s="18"/>
      <c r="K6" s="18"/>
      <c r="L6" s="18"/>
      <c r="M6" s="18"/>
      <c r="N6" s="18"/>
      <c r="P6" s="18"/>
      <c r="Q6" s="18"/>
      <c r="R6" s="74"/>
      <c r="S6" s="74"/>
      <c r="T6" s="75"/>
      <c r="U6" s="15"/>
      <c r="V6" s="68" t="s">
        <v>121</v>
      </c>
      <c r="W6" s="18"/>
      <c r="X6" s="18"/>
      <c r="Y6" s="18"/>
      <c r="Z6" s="18"/>
      <c r="AA6" s="18"/>
      <c r="AB6" s="18"/>
      <c r="AC6" s="18"/>
      <c r="AD6" s="18"/>
      <c r="AE6" s="18"/>
      <c r="AF6" s="18"/>
      <c r="AG6" s="15"/>
      <c r="AH6" s="15"/>
      <c r="AI6" s="15"/>
      <c r="AJ6" s="874"/>
      <c r="AK6" s="875"/>
      <c r="AL6" s="875"/>
      <c r="AM6" s="875"/>
      <c r="AN6" s="875"/>
      <c r="AO6" s="875"/>
      <c r="AP6" s="875"/>
      <c r="AQ6" s="875"/>
      <c r="AR6" s="875"/>
      <c r="AS6" s="875"/>
      <c r="AT6" s="875"/>
      <c r="AU6" s="875"/>
      <c r="AV6" s="875"/>
      <c r="AW6" s="876"/>
      <c r="AX6" s="30"/>
      <c r="AZ6" s="18"/>
      <c r="BA6" s="18"/>
      <c r="BB6" s="18"/>
      <c r="BC6" s="18"/>
      <c r="BD6" s="18"/>
      <c r="BE6" s="15"/>
      <c r="BF6" s="71"/>
      <c r="BG6" s="18"/>
    </row>
    <row r="7" spans="1:59" s="69" customFormat="1" ht="15" customHeight="1">
      <c r="A7" s="76"/>
      <c r="B7" s="15"/>
      <c r="C7" s="15"/>
      <c r="D7" s="15"/>
      <c r="E7" s="15"/>
      <c r="F7" s="72"/>
      <c r="G7" s="18" t="s">
        <v>122</v>
      </c>
      <c r="H7" s="18"/>
      <c r="I7" s="18"/>
      <c r="J7" s="77"/>
      <c r="K7" s="18"/>
      <c r="L7" s="16"/>
      <c r="M7" s="15"/>
      <c r="N7" s="78" t="s">
        <v>30</v>
      </c>
      <c r="O7" s="79" t="s">
        <v>123</v>
      </c>
      <c r="P7" s="18"/>
      <c r="Q7" s="74"/>
      <c r="R7" s="74"/>
      <c r="S7" s="75"/>
      <c r="T7" s="75"/>
      <c r="U7" s="15"/>
      <c r="V7" s="70" t="s">
        <v>124</v>
      </c>
      <c r="W7" s="18"/>
      <c r="X7" s="18"/>
      <c r="Y7" s="15"/>
      <c r="Z7" s="80"/>
      <c r="AA7" s="18"/>
      <c r="AB7" s="15" t="s">
        <v>30</v>
      </c>
      <c r="AC7" s="81"/>
      <c r="AD7" s="82"/>
      <c r="AE7" s="74"/>
      <c r="AF7" s="18"/>
      <c r="AG7" s="74"/>
      <c r="AH7" s="18"/>
      <c r="AI7" s="18"/>
      <c r="AJ7" s="877"/>
      <c r="AK7" s="875"/>
      <c r="AL7" s="875"/>
      <c r="AM7" s="875"/>
      <c r="AN7" s="875"/>
      <c r="AO7" s="875"/>
      <c r="AP7" s="875"/>
      <c r="AQ7" s="875"/>
      <c r="AR7" s="875"/>
      <c r="AS7" s="875"/>
      <c r="AT7" s="875"/>
      <c r="AU7" s="875"/>
      <c r="AV7" s="875"/>
      <c r="AW7" s="876"/>
      <c r="AX7" s="30"/>
      <c r="AZ7" s="18"/>
      <c r="BA7" s="18"/>
      <c r="BB7" s="18"/>
      <c r="BC7" s="18"/>
      <c r="BD7" s="18"/>
      <c r="BE7" s="15"/>
      <c r="BF7" s="71"/>
      <c r="BG7" s="18"/>
    </row>
    <row r="8" spans="1:59" s="69" customFormat="1" ht="15" customHeight="1">
      <c r="A8" s="76"/>
      <c r="B8" s="15"/>
      <c r="C8" s="15"/>
      <c r="D8" s="15"/>
      <c r="E8" s="15"/>
      <c r="F8" s="72"/>
      <c r="G8" s="18" t="s">
        <v>125</v>
      </c>
      <c r="H8" s="18"/>
      <c r="I8" s="18"/>
      <c r="J8" s="77"/>
      <c r="K8" s="18"/>
      <c r="L8" s="16"/>
      <c r="M8" s="15"/>
      <c r="N8" s="83"/>
      <c r="O8" s="32" t="s">
        <v>126</v>
      </c>
      <c r="P8" s="18"/>
      <c r="Q8" s="74"/>
      <c r="R8" s="74"/>
      <c r="S8" s="75"/>
      <c r="T8" s="75"/>
      <c r="U8" s="15"/>
      <c r="V8" s="70" t="s">
        <v>127</v>
      </c>
      <c r="W8" s="18"/>
      <c r="X8" s="18"/>
      <c r="Y8" s="18"/>
      <c r="Z8" s="80"/>
      <c r="AA8" s="18"/>
      <c r="AB8" s="15" t="s">
        <v>30</v>
      </c>
      <c r="AC8" s="84"/>
      <c r="AD8" s="85"/>
      <c r="AE8" s="74"/>
      <c r="AF8" s="18"/>
      <c r="AG8" s="74"/>
      <c r="AH8" s="18"/>
      <c r="AI8" s="18"/>
      <c r="AJ8" s="877"/>
      <c r="AK8" s="875"/>
      <c r="AL8" s="875"/>
      <c r="AM8" s="875"/>
      <c r="AN8" s="875"/>
      <c r="AO8" s="875"/>
      <c r="AP8" s="875"/>
      <c r="AQ8" s="875"/>
      <c r="AR8" s="875"/>
      <c r="AS8" s="875"/>
      <c r="AT8" s="875"/>
      <c r="AU8" s="875"/>
      <c r="AV8" s="875"/>
      <c r="AW8" s="876"/>
      <c r="AX8" s="30"/>
      <c r="AZ8" s="15"/>
      <c r="BA8" s="15"/>
      <c r="BB8" s="15"/>
      <c r="BC8" s="15"/>
      <c r="BD8" s="15"/>
      <c r="BE8" s="15"/>
      <c r="BF8" s="15"/>
      <c r="BG8" s="15"/>
    </row>
    <row r="9" spans="1:59" s="69" customFormat="1" ht="15" customHeight="1">
      <c r="A9" s="76"/>
      <c r="B9" s="15"/>
      <c r="C9" s="15"/>
      <c r="D9" s="15"/>
      <c r="E9" s="15"/>
      <c r="F9" s="72"/>
      <c r="G9" s="18" t="s">
        <v>128</v>
      </c>
      <c r="H9" s="18"/>
      <c r="I9" s="18"/>
      <c r="J9" s="77"/>
      <c r="K9" s="18"/>
      <c r="L9" s="16"/>
      <c r="M9" s="15"/>
      <c r="N9" s="83"/>
      <c r="O9" s="32" t="s">
        <v>129</v>
      </c>
      <c r="P9" s="18"/>
      <c r="Q9" s="74"/>
      <c r="R9" s="74"/>
      <c r="S9" s="75"/>
      <c r="T9" s="75"/>
      <c r="U9" s="15"/>
      <c r="V9" s="70" t="s">
        <v>130</v>
      </c>
      <c r="W9" s="18"/>
      <c r="X9" s="18"/>
      <c r="Y9" s="18"/>
      <c r="Z9" s="80"/>
      <c r="AA9" s="18"/>
      <c r="AB9" s="15" t="s">
        <v>30</v>
      </c>
      <c r="AC9" s="81"/>
      <c r="AD9" s="82"/>
      <c r="AE9" s="74"/>
      <c r="AF9" s="18"/>
      <c r="AG9" s="74"/>
      <c r="AH9" s="18"/>
      <c r="AI9" s="18"/>
      <c r="AJ9" s="877"/>
      <c r="AK9" s="875"/>
      <c r="AL9" s="875"/>
      <c r="AM9" s="875"/>
      <c r="AN9" s="875"/>
      <c r="AO9" s="875"/>
      <c r="AP9" s="875"/>
      <c r="AQ9" s="875"/>
      <c r="AR9" s="875"/>
      <c r="AS9" s="875"/>
      <c r="AT9" s="875"/>
      <c r="AU9" s="875"/>
      <c r="AV9" s="875"/>
      <c r="AW9" s="876"/>
      <c r="AX9" s="30"/>
      <c r="AZ9" s="18"/>
      <c r="BA9" s="18"/>
      <c r="BB9" s="18"/>
      <c r="BC9" s="18"/>
      <c r="BD9" s="18"/>
      <c r="BE9" s="15"/>
      <c r="BF9" s="71"/>
      <c r="BG9" s="18"/>
    </row>
    <row r="10" spans="1:59" s="69" customFormat="1" ht="15" customHeight="1">
      <c r="A10" s="76"/>
      <c r="B10" s="15"/>
      <c r="C10" s="15"/>
      <c r="D10" s="15"/>
      <c r="E10" s="15"/>
      <c r="F10" s="72"/>
      <c r="G10" s="18" t="s">
        <v>131</v>
      </c>
      <c r="H10" s="18"/>
      <c r="I10" s="18"/>
      <c r="J10" s="18"/>
      <c r="K10" s="18"/>
      <c r="L10" s="16"/>
      <c r="M10" s="15"/>
      <c r="N10" s="83"/>
      <c r="O10" s="79" t="s">
        <v>132</v>
      </c>
      <c r="P10" s="18"/>
      <c r="Q10" s="74"/>
      <c r="R10" s="74"/>
      <c r="S10" s="74"/>
      <c r="T10" s="74"/>
      <c r="U10" s="15"/>
      <c r="V10" s="70" t="s">
        <v>133</v>
      </c>
      <c r="W10" s="18"/>
      <c r="X10" s="18"/>
      <c r="Y10" s="18"/>
      <c r="Z10" s="80"/>
      <c r="AA10" s="18"/>
      <c r="AB10" s="15" t="s">
        <v>30</v>
      </c>
      <c r="AC10" s="81"/>
      <c r="AD10" s="82"/>
      <c r="AE10" s="74"/>
      <c r="AF10" s="18"/>
      <c r="AG10" s="74"/>
      <c r="AH10" s="18"/>
      <c r="AI10" s="18"/>
      <c r="AJ10" s="877"/>
      <c r="AK10" s="875"/>
      <c r="AL10" s="875"/>
      <c r="AM10" s="875"/>
      <c r="AN10" s="875"/>
      <c r="AO10" s="875"/>
      <c r="AP10" s="875"/>
      <c r="AQ10" s="875"/>
      <c r="AR10" s="875"/>
      <c r="AS10" s="875"/>
      <c r="AT10" s="875"/>
      <c r="AU10" s="875"/>
      <c r="AV10" s="875"/>
      <c r="AW10" s="876"/>
      <c r="AX10" s="30"/>
    </row>
    <row r="11" spans="1:59" s="69" customFormat="1" ht="15" customHeight="1">
      <c r="A11" s="76"/>
      <c r="B11" s="15"/>
      <c r="C11" s="15"/>
      <c r="D11" s="15"/>
      <c r="E11" s="15"/>
      <c r="F11" s="72"/>
      <c r="G11" s="18" t="s">
        <v>134</v>
      </c>
      <c r="H11" s="18"/>
      <c r="I11" s="18"/>
      <c r="J11" s="18"/>
      <c r="K11" s="18"/>
      <c r="L11" s="16"/>
      <c r="M11" s="16"/>
      <c r="N11" s="16"/>
      <c r="O11" s="18"/>
      <c r="P11" s="18"/>
      <c r="Q11" s="86"/>
      <c r="R11" s="86"/>
      <c r="S11" s="87"/>
      <c r="T11" s="87"/>
      <c r="U11" s="15"/>
      <c r="V11" s="70" t="s">
        <v>135</v>
      </c>
      <c r="W11" s="18"/>
      <c r="X11" s="18"/>
      <c r="Y11" s="18"/>
      <c r="Z11" s="80"/>
      <c r="AA11" s="18"/>
      <c r="AB11" s="15" t="s">
        <v>30</v>
      </c>
      <c r="AC11" s="81"/>
      <c r="AD11" s="82"/>
      <c r="AE11" s="74"/>
      <c r="AF11" s="18"/>
      <c r="AG11" s="74"/>
      <c r="AH11" s="18"/>
      <c r="AI11" s="18"/>
      <c r="AJ11" s="877"/>
      <c r="AK11" s="875"/>
      <c r="AL11" s="875"/>
      <c r="AM11" s="875"/>
      <c r="AN11" s="875"/>
      <c r="AO11" s="875"/>
      <c r="AP11" s="875"/>
      <c r="AQ11" s="875"/>
      <c r="AR11" s="875"/>
      <c r="AS11" s="875"/>
      <c r="AT11" s="875"/>
      <c r="AU11" s="875"/>
      <c r="AV11" s="875"/>
      <c r="AW11" s="876"/>
      <c r="AX11" s="30"/>
    </row>
    <row r="12" spans="1:59" s="69" customFormat="1" ht="15" customHeight="1">
      <c r="A12" s="76"/>
      <c r="B12" s="15"/>
      <c r="C12" s="15"/>
      <c r="D12" s="15"/>
      <c r="E12" s="15"/>
      <c r="F12" s="72"/>
      <c r="G12" s="18"/>
      <c r="H12" s="18" t="s">
        <v>136</v>
      </c>
      <c r="I12" s="18"/>
      <c r="J12" s="77"/>
      <c r="K12" s="18"/>
      <c r="L12" s="15" t="s">
        <v>30</v>
      </c>
      <c r="M12" s="18" t="s">
        <v>137</v>
      </c>
      <c r="N12" s="88"/>
      <c r="O12" s="18"/>
      <c r="P12" s="18"/>
      <c r="Q12" s="86"/>
      <c r="R12" s="86"/>
      <c r="S12" s="87"/>
      <c r="T12" s="87"/>
      <c r="U12" s="15"/>
      <c r="V12" s="70" t="s">
        <v>138</v>
      </c>
      <c r="W12" s="18"/>
      <c r="X12" s="18"/>
      <c r="Y12" s="18"/>
      <c r="Z12" s="80"/>
      <c r="AA12" s="18"/>
      <c r="AB12" s="15" t="s">
        <v>30</v>
      </c>
      <c r="AC12" s="89"/>
      <c r="AD12" s="90"/>
      <c r="AE12" s="74"/>
      <c r="AF12" s="18"/>
      <c r="AG12" s="74"/>
      <c r="AH12" s="18"/>
      <c r="AI12" s="18"/>
      <c r="AJ12" s="877"/>
      <c r="AK12" s="875"/>
      <c r="AL12" s="875"/>
      <c r="AM12" s="875"/>
      <c r="AN12" s="875"/>
      <c r="AO12" s="875"/>
      <c r="AP12" s="875"/>
      <c r="AQ12" s="875"/>
      <c r="AR12" s="875"/>
      <c r="AS12" s="875"/>
      <c r="AT12" s="875"/>
      <c r="AU12" s="875"/>
      <c r="AV12" s="875"/>
      <c r="AW12" s="876"/>
      <c r="AX12" s="30"/>
      <c r="AZ12" s="18"/>
      <c r="BA12" s="18"/>
    </row>
    <row r="13" spans="1:59" s="69" customFormat="1" ht="15" customHeight="1">
      <c r="A13" s="76"/>
      <c r="B13" s="15"/>
      <c r="C13" s="15"/>
      <c r="D13" s="15"/>
      <c r="E13" s="15"/>
      <c r="F13" s="72"/>
      <c r="G13" s="18"/>
      <c r="H13" s="18" t="s">
        <v>139</v>
      </c>
      <c r="I13" s="18"/>
      <c r="J13" s="77"/>
      <c r="K13" s="18"/>
      <c r="L13" s="15" t="s">
        <v>30</v>
      </c>
      <c r="M13" s="18" t="s">
        <v>140</v>
      </c>
      <c r="N13" s="91"/>
      <c r="O13" s="18"/>
      <c r="P13" s="18"/>
      <c r="Q13" s="86"/>
      <c r="R13" s="86"/>
      <c r="S13" s="92"/>
      <c r="T13" s="92"/>
      <c r="U13" s="15"/>
      <c r="V13" s="70" t="s">
        <v>141</v>
      </c>
      <c r="W13" s="18"/>
      <c r="X13" s="18"/>
      <c r="Y13" s="18"/>
      <c r="Z13" s="80"/>
      <c r="AA13" s="18"/>
      <c r="AB13" s="15" t="s">
        <v>30</v>
      </c>
      <c r="AC13" s="81"/>
      <c r="AD13" s="82"/>
      <c r="AE13" s="74"/>
      <c r="AF13" s="18"/>
      <c r="AG13" s="74"/>
      <c r="AH13" s="18"/>
      <c r="AI13" s="18"/>
      <c r="AJ13" s="877"/>
      <c r="AK13" s="875"/>
      <c r="AL13" s="875"/>
      <c r="AM13" s="875"/>
      <c r="AN13" s="875"/>
      <c r="AO13" s="875"/>
      <c r="AP13" s="875"/>
      <c r="AQ13" s="875"/>
      <c r="AR13" s="875"/>
      <c r="AS13" s="875"/>
      <c r="AT13" s="875"/>
      <c r="AU13" s="875"/>
      <c r="AV13" s="875"/>
      <c r="AW13" s="876"/>
      <c r="AX13" s="30"/>
      <c r="AZ13" s="18"/>
      <c r="BA13" s="18"/>
    </row>
    <row r="14" spans="1:59" s="69" customFormat="1" ht="15" customHeight="1">
      <c r="A14" s="76"/>
      <c r="B14" s="15"/>
      <c r="C14" s="15"/>
      <c r="D14" s="15"/>
      <c r="E14" s="15"/>
      <c r="F14" s="72"/>
      <c r="G14" s="18"/>
      <c r="H14" s="18"/>
      <c r="I14" s="18"/>
      <c r="J14" s="77"/>
      <c r="K14" s="18"/>
      <c r="L14" s="15"/>
      <c r="M14" s="18" t="s">
        <v>142</v>
      </c>
      <c r="N14" s="93"/>
      <c r="O14" s="18"/>
      <c r="P14" s="18"/>
      <c r="Q14" s="16"/>
      <c r="R14" s="16"/>
      <c r="S14" s="94"/>
      <c r="T14" s="94"/>
      <c r="U14" s="15"/>
      <c r="V14" s="70" t="s">
        <v>143</v>
      </c>
      <c r="W14" s="18"/>
      <c r="X14" s="18"/>
      <c r="Y14" s="15"/>
      <c r="Z14" s="80"/>
      <c r="AA14" s="18"/>
      <c r="AB14" s="15" t="s">
        <v>30</v>
      </c>
      <c r="AC14" s="81"/>
      <c r="AD14" s="82"/>
      <c r="AE14" s="74"/>
      <c r="AF14" s="18"/>
      <c r="AG14" s="74"/>
      <c r="AH14" s="18"/>
      <c r="AI14" s="18"/>
      <c r="AJ14" s="877"/>
      <c r="AK14" s="875"/>
      <c r="AL14" s="875"/>
      <c r="AM14" s="875"/>
      <c r="AN14" s="875"/>
      <c r="AO14" s="875"/>
      <c r="AP14" s="875"/>
      <c r="AQ14" s="875"/>
      <c r="AR14" s="875"/>
      <c r="AS14" s="875"/>
      <c r="AT14" s="875"/>
      <c r="AU14" s="875"/>
      <c r="AV14" s="875"/>
      <c r="AW14" s="876"/>
      <c r="AX14" s="30"/>
    </row>
    <row r="15" spans="1:59" s="69" customFormat="1" ht="15" customHeight="1">
      <c r="A15" s="76"/>
      <c r="B15" s="15"/>
      <c r="C15" s="15"/>
      <c r="D15" s="15"/>
      <c r="E15" s="15"/>
      <c r="F15" s="72"/>
      <c r="G15" s="18"/>
      <c r="H15" s="18" t="s">
        <v>144</v>
      </c>
      <c r="I15" s="95"/>
      <c r="J15" s="15"/>
      <c r="K15" s="18"/>
      <c r="L15" s="15" t="s">
        <v>30</v>
      </c>
      <c r="M15" s="96" t="s">
        <v>145</v>
      </c>
      <c r="N15" s="97"/>
      <c r="O15" s="18"/>
      <c r="P15" s="18"/>
      <c r="Q15" s="16"/>
      <c r="R15" s="16"/>
      <c r="S15" s="94"/>
      <c r="T15" s="94"/>
      <c r="U15" s="15"/>
      <c r="V15" s="98" t="s">
        <v>146</v>
      </c>
      <c r="W15" s="18"/>
      <c r="X15" s="18"/>
      <c r="Y15" s="15"/>
      <c r="Z15" s="80"/>
      <c r="AA15" s="18"/>
      <c r="AB15" s="15" t="s">
        <v>30</v>
      </c>
      <c r="AC15" s="81"/>
      <c r="AE15" s="99"/>
      <c r="AH15" s="18"/>
      <c r="AI15" s="18"/>
      <c r="AJ15" s="877"/>
      <c r="AK15" s="875"/>
      <c r="AL15" s="875"/>
      <c r="AM15" s="875"/>
      <c r="AN15" s="875"/>
      <c r="AO15" s="875"/>
      <c r="AP15" s="875"/>
      <c r="AQ15" s="875"/>
      <c r="AR15" s="875"/>
      <c r="AS15" s="875"/>
      <c r="AT15" s="875"/>
      <c r="AU15" s="875"/>
      <c r="AV15" s="875"/>
      <c r="AW15" s="876"/>
      <c r="AX15" s="30"/>
    </row>
    <row r="16" spans="1:59" s="69" customFormat="1" ht="15" customHeight="1">
      <c r="A16" s="76"/>
      <c r="B16" s="15"/>
      <c r="C16" s="15"/>
      <c r="D16" s="15"/>
      <c r="E16" s="15"/>
      <c r="F16" s="72"/>
      <c r="G16" s="18"/>
      <c r="H16" s="18" t="s">
        <v>147</v>
      </c>
      <c r="I16" s="95"/>
      <c r="J16" s="15"/>
      <c r="K16" s="18"/>
      <c r="L16" s="15" t="s">
        <v>30</v>
      </c>
      <c r="M16" s="96" t="s">
        <v>148</v>
      </c>
      <c r="N16" s="97"/>
      <c r="O16" s="18"/>
      <c r="P16" s="18"/>
      <c r="Q16" s="16"/>
      <c r="R16" s="16"/>
      <c r="S16" s="94"/>
      <c r="T16" s="94"/>
      <c r="U16" s="15"/>
      <c r="V16" s="70" t="s">
        <v>149</v>
      </c>
      <c r="W16" s="18"/>
      <c r="X16" s="18"/>
      <c r="Y16" s="15"/>
      <c r="Z16" s="15"/>
      <c r="AA16" s="18"/>
      <c r="AB16" s="15" t="s">
        <v>30</v>
      </c>
      <c r="AC16" s="100"/>
      <c r="AD16" s="101"/>
      <c r="AE16" s="99"/>
      <c r="AH16" s="18"/>
      <c r="AI16" s="18"/>
      <c r="AJ16" s="877"/>
      <c r="AK16" s="875"/>
      <c r="AL16" s="875"/>
      <c r="AM16" s="875"/>
      <c r="AN16" s="875"/>
      <c r="AO16" s="875"/>
      <c r="AP16" s="875"/>
      <c r="AQ16" s="875"/>
      <c r="AR16" s="875"/>
      <c r="AS16" s="875"/>
      <c r="AT16" s="875"/>
      <c r="AU16" s="875"/>
      <c r="AV16" s="875"/>
      <c r="AW16" s="876"/>
      <c r="AX16" s="30"/>
    </row>
    <row r="17" spans="1:50" s="69" customFormat="1" ht="15" customHeight="1">
      <c r="A17" s="76"/>
      <c r="B17" s="15"/>
      <c r="C17" s="15"/>
      <c r="D17" s="15"/>
      <c r="E17" s="15"/>
      <c r="F17" s="72"/>
      <c r="G17" s="18"/>
      <c r="H17" s="18" t="s">
        <v>150</v>
      </c>
      <c r="I17" s="102"/>
      <c r="J17" s="15"/>
      <c r="K17" s="18"/>
      <c r="L17" s="15" t="s">
        <v>30</v>
      </c>
      <c r="M17" s="96" t="s">
        <v>151</v>
      </c>
      <c r="N17" s="97"/>
      <c r="O17" s="18"/>
      <c r="P17" s="18"/>
      <c r="Q17" s="18"/>
      <c r="R17" s="18"/>
      <c r="S17" s="103"/>
      <c r="T17" s="103"/>
      <c r="U17" s="15"/>
      <c r="V17" s="70" t="s">
        <v>152</v>
      </c>
      <c r="W17" s="18"/>
      <c r="X17" s="18"/>
      <c r="Y17" s="15"/>
      <c r="Z17" s="18"/>
      <c r="AA17" s="18"/>
      <c r="AB17" s="15" t="s">
        <v>30</v>
      </c>
      <c r="AC17" s="104"/>
      <c r="AE17" s="99"/>
      <c r="AH17" s="18"/>
      <c r="AI17" s="18"/>
      <c r="AJ17" s="877"/>
      <c r="AK17" s="875"/>
      <c r="AL17" s="875"/>
      <c r="AM17" s="875"/>
      <c r="AN17" s="875"/>
      <c r="AO17" s="875"/>
      <c r="AP17" s="875"/>
      <c r="AQ17" s="875"/>
      <c r="AR17" s="875"/>
      <c r="AS17" s="875"/>
      <c r="AT17" s="875"/>
      <c r="AU17" s="875"/>
      <c r="AV17" s="875"/>
      <c r="AW17" s="876"/>
      <c r="AX17" s="30"/>
    </row>
    <row r="18" spans="1:50" s="69" customFormat="1" ht="15" customHeight="1">
      <c r="A18" s="76"/>
      <c r="B18" s="15"/>
      <c r="C18" s="15"/>
      <c r="D18" s="15"/>
      <c r="E18" s="15"/>
      <c r="F18" s="72"/>
      <c r="G18" s="18"/>
      <c r="H18" s="18" t="s">
        <v>153</v>
      </c>
      <c r="I18" s="18"/>
      <c r="J18" s="95"/>
      <c r="K18" s="18"/>
      <c r="L18" s="15" t="s">
        <v>30</v>
      </c>
      <c r="M18" s="96" t="s">
        <v>154</v>
      </c>
      <c r="N18" s="97"/>
      <c r="O18" s="18"/>
      <c r="P18" s="18"/>
      <c r="Q18" s="18"/>
      <c r="R18" s="18"/>
      <c r="S18" s="92"/>
      <c r="T18" s="92"/>
      <c r="U18" s="15"/>
      <c r="V18" s="98" t="s">
        <v>155</v>
      </c>
      <c r="W18" s="18"/>
      <c r="X18" s="18"/>
      <c r="Y18" s="18"/>
      <c r="Z18" s="16"/>
      <c r="AA18" s="105" t="s">
        <v>156</v>
      </c>
      <c r="AB18" s="15" t="s">
        <v>30</v>
      </c>
      <c r="AC18" s="104"/>
      <c r="AD18" s="101"/>
      <c r="AE18" s="32" t="s">
        <v>157</v>
      </c>
      <c r="AF18" s="18"/>
      <c r="AG18" s="106"/>
      <c r="AH18" s="18"/>
      <c r="AI18" s="18"/>
      <c r="AJ18" s="877"/>
      <c r="AK18" s="875"/>
      <c r="AL18" s="875"/>
      <c r="AM18" s="875"/>
      <c r="AN18" s="875"/>
      <c r="AO18" s="875"/>
      <c r="AP18" s="875"/>
      <c r="AQ18" s="875"/>
      <c r="AR18" s="875"/>
      <c r="AS18" s="875"/>
      <c r="AT18" s="875"/>
      <c r="AU18" s="875"/>
      <c r="AV18" s="875"/>
      <c r="AW18" s="876"/>
      <c r="AX18" s="30"/>
    </row>
    <row r="19" spans="1:50" s="69" customFormat="1" ht="15" customHeight="1">
      <c r="A19" s="76"/>
      <c r="B19" s="15"/>
      <c r="C19" s="15"/>
      <c r="D19" s="15"/>
      <c r="E19" s="15"/>
      <c r="F19" s="72"/>
      <c r="G19" s="18" t="s">
        <v>158</v>
      </c>
      <c r="H19" s="18"/>
      <c r="I19" s="18"/>
      <c r="J19" s="18"/>
      <c r="K19" s="18"/>
      <c r="L19" s="15" t="s">
        <v>30</v>
      </c>
      <c r="M19" s="15">
        <v>2022</v>
      </c>
      <c r="N19" s="93"/>
      <c r="O19" s="18"/>
      <c r="P19" s="18"/>
      <c r="Q19" s="18"/>
      <c r="R19" s="18"/>
      <c r="S19" s="92"/>
      <c r="T19" s="92"/>
      <c r="U19" s="15"/>
      <c r="V19" s="98" t="s">
        <v>155</v>
      </c>
      <c r="AA19" s="105" t="s">
        <v>159</v>
      </c>
      <c r="AB19" s="15" t="s">
        <v>30</v>
      </c>
      <c r="AC19" s="104"/>
      <c r="AD19" s="107"/>
      <c r="AE19" s="32" t="s">
        <v>157</v>
      </c>
      <c r="AF19" s="18"/>
      <c r="AG19" s="106"/>
      <c r="AH19" s="18"/>
      <c r="AI19" s="18"/>
      <c r="AJ19" s="877"/>
      <c r="AK19" s="875"/>
      <c r="AL19" s="875"/>
      <c r="AM19" s="875"/>
      <c r="AN19" s="875"/>
      <c r="AO19" s="875"/>
      <c r="AP19" s="875"/>
      <c r="AQ19" s="875"/>
      <c r="AR19" s="875"/>
      <c r="AS19" s="875"/>
      <c r="AT19" s="875"/>
      <c r="AU19" s="875"/>
      <c r="AV19" s="875"/>
      <c r="AW19" s="876"/>
      <c r="AX19" s="30"/>
    </row>
    <row r="20" spans="1:50" s="69" customFormat="1" ht="15" customHeight="1">
      <c r="A20" s="76"/>
      <c r="B20" s="15"/>
      <c r="C20" s="15"/>
      <c r="D20" s="15"/>
      <c r="E20" s="15"/>
      <c r="F20" s="72"/>
      <c r="G20" s="18" t="s">
        <v>160</v>
      </c>
      <c r="H20" s="18"/>
      <c r="I20" s="18"/>
      <c r="J20" s="18"/>
      <c r="K20" s="77"/>
      <c r="L20" s="15" t="s">
        <v>30</v>
      </c>
      <c r="M20" s="15" t="s">
        <v>161</v>
      </c>
      <c r="N20" s="93"/>
      <c r="O20" s="18"/>
      <c r="P20" s="18"/>
      <c r="Q20" s="18"/>
      <c r="R20" s="18"/>
      <c r="S20" s="92"/>
      <c r="T20" s="92"/>
      <c r="U20" s="15"/>
      <c r="V20" s="108"/>
      <c r="W20" s="109"/>
      <c r="X20" s="109"/>
      <c r="Y20" s="110"/>
      <c r="Z20" s="109"/>
      <c r="AA20" s="109"/>
      <c r="AB20" s="110"/>
      <c r="AC20" s="111"/>
      <c r="AD20" s="112"/>
      <c r="AE20" s="112"/>
      <c r="AF20" s="18"/>
      <c r="AG20" s="106"/>
      <c r="AH20" s="18"/>
      <c r="AI20" s="18"/>
      <c r="AJ20" s="877"/>
      <c r="AK20" s="875"/>
      <c r="AL20" s="875"/>
      <c r="AM20" s="875"/>
      <c r="AN20" s="875"/>
      <c r="AO20" s="875"/>
      <c r="AP20" s="875"/>
      <c r="AQ20" s="875"/>
      <c r="AR20" s="875"/>
      <c r="AS20" s="875"/>
      <c r="AT20" s="875"/>
      <c r="AU20" s="875"/>
      <c r="AV20" s="875"/>
      <c r="AW20" s="876"/>
      <c r="AX20" s="30"/>
    </row>
    <row r="21" spans="1:50" s="69" customFormat="1" ht="15" customHeight="1">
      <c r="A21" s="76"/>
      <c r="B21" s="15"/>
      <c r="C21" s="15"/>
      <c r="D21" s="15"/>
      <c r="E21" s="15"/>
      <c r="F21" s="72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5"/>
      <c r="V21" s="98"/>
      <c r="AD21" s="112"/>
      <c r="AH21" s="112"/>
      <c r="AI21" s="18"/>
      <c r="AJ21" s="877"/>
      <c r="AK21" s="875"/>
      <c r="AL21" s="875"/>
      <c r="AM21" s="875"/>
      <c r="AN21" s="875"/>
      <c r="AO21" s="875"/>
      <c r="AP21" s="875"/>
      <c r="AQ21" s="875"/>
      <c r="AR21" s="875"/>
      <c r="AS21" s="875"/>
      <c r="AT21" s="875"/>
      <c r="AU21" s="875"/>
      <c r="AV21" s="875"/>
      <c r="AW21" s="876"/>
      <c r="AX21" s="30"/>
    </row>
    <row r="22" spans="1:50" s="69" customFormat="1" ht="15" customHeight="1">
      <c r="A22" s="76"/>
      <c r="B22" s="15"/>
      <c r="C22" s="15"/>
      <c r="D22" s="15"/>
      <c r="E22" s="15"/>
      <c r="F22" s="72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5"/>
      <c r="V22" s="98"/>
      <c r="AD22" s="112"/>
      <c r="AH22" s="112"/>
      <c r="AI22" s="18"/>
      <c r="AJ22" s="878"/>
      <c r="AK22" s="879"/>
      <c r="AL22" s="879"/>
      <c r="AM22" s="879"/>
      <c r="AN22" s="879"/>
      <c r="AO22" s="879"/>
      <c r="AP22" s="879"/>
      <c r="AQ22" s="879"/>
      <c r="AR22" s="879"/>
      <c r="AS22" s="879"/>
      <c r="AT22" s="879"/>
      <c r="AU22" s="879"/>
      <c r="AV22" s="879"/>
      <c r="AW22" s="880"/>
      <c r="AX22" s="30"/>
    </row>
    <row r="23" spans="1:50" s="69" customFormat="1" ht="15" customHeight="1">
      <c r="A23" s="113" t="s">
        <v>162</v>
      </c>
      <c r="B23" s="114"/>
      <c r="C23" s="115"/>
      <c r="D23" s="116" t="s">
        <v>163</v>
      </c>
      <c r="E23" s="117"/>
      <c r="F23" s="114"/>
      <c r="G23" s="115"/>
      <c r="H23" s="115"/>
      <c r="I23" s="115"/>
      <c r="J23" s="115"/>
      <c r="K23" s="115"/>
      <c r="L23" s="115"/>
      <c r="M23" s="115"/>
      <c r="N23" s="115"/>
      <c r="O23" s="115"/>
      <c r="P23" s="115"/>
      <c r="Q23" s="115"/>
      <c r="R23" s="115"/>
      <c r="S23" s="115"/>
      <c r="T23" s="115"/>
      <c r="U23" s="117"/>
      <c r="V23" s="118"/>
      <c r="W23" s="115"/>
      <c r="X23" s="115"/>
      <c r="Y23" s="115"/>
      <c r="Z23" s="115"/>
      <c r="AA23" s="115"/>
      <c r="AB23" s="119"/>
      <c r="AC23" s="881"/>
      <c r="AD23" s="881"/>
      <c r="AE23" s="881"/>
      <c r="AF23" s="115"/>
      <c r="AG23" s="120"/>
      <c r="AH23" s="115"/>
      <c r="AI23" s="115"/>
      <c r="AJ23" s="121"/>
      <c r="AK23" s="117"/>
      <c r="AL23" s="117"/>
      <c r="AM23" s="117"/>
      <c r="AN23" s="117"/>
      <c r="AO23" s="117"/>
      <c r="AP23" s="117"/>
      <c r="AQ23" s="117"/>
      <c r="AR23" s="117"/>
      <c r="AS23" s="117"/>
      <c r="AT23" s="117"/>
      <c r="AU23" s="117"/>
      <c r="AV23" s="117"/>
      <c r="AW23" s="122"/>
    </row>
    <row r="24" spans="1:50" s="69" customFormat="1" ht="15" customHeight="1">
      <c r="A24" s="123"/>
      <c r="B24" s="15"/>
      <c r="C24" s="15"/>
      <c r="D24" s="15"/>
      <c r="E24" s="18"/>
      <c r="F24" s="72"/>
      <c r="G24" s="30" t="s">
        <v>164</v>
      </c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5"/>
      <c r="V24" s="68" t="s">
        <v>165</v>
      </c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5"/>
      <c r="AH24" s="15"/>
      <c r="AI24" s="15"/>
      <c r="AJ24" s="877"/>
      <c r="AK24" s="875"/>
      <c r="AL24" s="875"/>
      <c r="AM24" s="18"/>
      <c r="AN24" s="18"/>
      <c r="AO24" s="18"/>
      <c r="AP24" s="18"/>
      <c r="AQ24" s="18"/>
      <c r="AR24" s="15"/>
      <c r="AS24" s="15"/>
      <c r="AT24" s="15"/>
      <c r="AU24" s="15"/>
      <c r="AV24" s="15"/>
      <c r="AW24" s="21"/>
    </row>
    <row r="25" spans="1:50" s="69" customFormat="1" ht="15" customHeight="1">
      <c r="A25" s="123"/>
      <c r="B25" s="15"/>
      <c r="C25" s="15"/>
      <c r="D25" s="15"/>
      <c r="E25" s="15"/>
      <c r="F25" s="72"/>
      <c r="G25" s="18" t="s">
        <v>166</v>
      </c>
      <c r="H25" s="18"/>
      <c r="I25" s="18"/>
      <c r="J25" s="18"/>
      <c r="K25" s="15" t="s">
        <v>30</v>
      </c>
      <c r="L25" s="864">
        <v>345.3</v>
      </c>
      <c r="M25" s="864"/>
      <c r="N25" s="18" t="s">
        <v>90</v>
      </c>
      <c r="O25" s="15"/>
      <c r="P25" s="18"/>
      <c r="Q25" s="18"/>
      <c r="R25" s="74"/>
      <c r="S25" s="74"/>
      <c r="T25" s="74"/>
      <c r="U25" s="15"/>
      <c r="V25" s="73" t="s">
        <v>167</v>
      </c>
      <c r="W25" s="18"/>
      <c r="X25" s="18"/>
      <c r="Y25" s="18"/>
      <c r="Z25" s="18"/>
      <c r="AA25" s="18"/>
      <c r="AC25" s="15" t="s">
        <v>30</v>
      </c>
      <c r="AD25" s="124"/>
      <c r="AE25" s="18" t="s">
        <v>90</v>
      </c>
      <c r="AF25" s="18"/>
      <c r="AG25" s="74"/>
      <c r="AH25" s="18"/>
      <c r="AI25" s="18"/>
      <c r="AJ25" s="60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21"/>
    </row>
    <row r="26" spans="1:50" s="69" customFormat="1" ht="15" customHeight="1">
      <c r="A26" s="76"/>
      <c r="B26" s="15"/>
      <c r="C26" s="15"/>
      <c r="D26" s="15"/>
      <c r="E26" s="15"/>
      <c r="F26" s="72"/>
      <c r="G26" s="18" t="s">
        <v>168</v>
      </c>
      <c r="H26" s="18"/>
      <c r="I26" s="18"/>
      <c r="J26" s="18"/>
      <c r="K26" s="15" t="s">
        <v>30</v>
      </c>
      <c r="L26" s="862">
        <v>55</v>
      </c>
      <c r="M26" s="862"/>
      <c r="N26" s="18" t="s">
        <v>90</v>
      </c>
      <c r="O26" s="15"/>
      <c r="P26" s="18"/>
      <c r="Q26" s="18"/>
      <c r="R26" s="74"/>
      <c r="S26" s="74"/>
      <c r="T26" s="74"/>
      <c r="U26" s="15"/>
      <c r="V26" s="73" t="s">
        <v>169</v>
      </c>
      <c r="W26" s="18"/>
      <c r="X26" s="18"/>
      <c r="Y26" s="18"/>
      <c r="Z26" s="18"/>
      <c r="AA26" s="18"/>
      <c r="AC26" s="15" t="s">
        <v>30</v>
      </c>
      <c r="AD26" s="124"/>
      <c r="AE26" s="18" t="s">
        <v>90</v>
      </c>
      <c r="AF26" s="18"/>
      <c r="AG26" s="74"/>
      <c r="AH26" s="18"/>
      <c r="AI26" s="18"/>
      <c r="AJ26" s="45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44"/>
    </row>
    <row r="27" spans="1:50" s="69" customFormat="1" ht="15" customHeight="1">
      <c r="A27" s="76"/>
      <c r="B27" s="15"/>
      <c r="C27" s="15"/>
      <c r="D27" s="15"/>
      <c r="E27" s="15"/>
      <c r="F27" s="72"/>
      <c r="G27" s="18" t="s">
        <v>170</v>
      </c>
      <c r="H27" s="18"/>
      <c r="I27" s="18"/>
      <c r="J27" s="18"/>
      <c r="K27" s="15" t="s">
        <v>30</v>
      </c>
      <c r="L27" s="862">
        <v>12.2</v>
      </c>
      <c r="M27" s="862"/>
      <c r="N27" s="18" t="s">
        <v>90</v>
      </c>
      <c r="O27" s="15"/>
      <c r="P27" s="93"/>
      <c r="Q27" s="18"/>
      <c r="R27" s="74"/>
      <c r="S27" s="74"/>
      <c r="T27" s="74"/>
      <c r="U27" s="15"/>
      <c r="V27" s="73" t="s">
        <v>171</v>
      </c>
      <c r="W27" s="18"/>
      <c r="X27" s="18"/>
      <c r="Y27" s="18"/>
      <c r="Z27" s="18"/>
      <c r="AA27" s="18"/>
      <c r="AC27" s="15" t="s">
        <v>30</v>
      </c>
      <c r="AD27" s="124"/>
      <c r="AE27" s="18" t="s">
        <v>90</v>
      </c>
      <c r="AF27" s="18"/>
      <c r="AG27" s="74"/>
      <c r="AH27" s="18"/>
      <c r="AI27" s="18"/>
      <c r="AJ27" s="45"/>
      <c r="AK27" s="81"/>
      <c r="AL27" s="9"/>
      <c r="AM27" s="9"/>
      <c r="AN27" s="9"/>
      <c r="AO27" s="9"/>
      <c r="AP27" s="9"/>
      <c r="AQ27" s="9"/>
      <c r="AR27" s="9"/>
      <c r="AS27" s="9"/>
      <c r="AT27" s="9"/>
      <c r="AU27" s="9"/>
      <c r="AV27" s="9"/>
      <c r="AW27" s="44"/>
    </row>
    <row r="28" spans="1:50" s="69" customFormat="1" ht="15" customHeight="1">
      <c r="A28" s="76"/>
      <c r="B28" s="15"/>
      <c r="C28" s="15"/>
      <c r="D28" s="15"/>
      <c r="E28" s="15"/>
      <c r="F28" s="72"/>
      <c r="G28" s="32" t="s">
        <v>172</v>
      </c>
      <c r="H28" s="18"/>
      <c r="I28" s="18"/>
      <c r="J28" s="18"/>
      <c r="K28" s="80" t="s">
        <v>30</v>
      </c>
      <c r="L28" s="862">
        <v>10</v>
      </c>
      <c r="M28" s="862"/>
      <c r="N28" s="18" t="s">
        <v>90</v>
      </c>
      <c r="O28" s="15"/>
      <c r="P28" s="93"/>
      <c r="Q28" s="18"/>
      <c r="R28" s="74"/>
      <c r="S28" s="74"/>
      <c r="T28" s="74"/>
      <c r="U28" s="15"/>
      <c r="V28" s="73" t="s">
        <v>173</v>
      </c>
      <c r="AC28" s="15" t="s">
        <v>30</v>
      </c>
      <c r="AD28" s="124"/>
      <c r="AE28" s="18" t="s">
        <v>90</v>
      </c>
      <c r="AF28" s="18"/>
      <c r="AG28" s="74"/>
      <c r="AH28" s="18"/>
      <c r="AI28" s="18"/>
      <c r="AJ28" s="45"/>
      <c r="AK28" s="81"/>
      <c r="AL28" s="9"/>
      <c r="AM28" s="9"/>
      <c r="AN28" s="9"/>
      <c r="AO28" s="9"/>
      <c r="AP28" s="9"/>
      <c r="AQ28" s="9"/>
      <c r="AR28" s="9"/>
      <c r="AS28" s="9"/>
      <c r="AT28" s="9"/>
      <c r="AU28" s="9"/>
      <c r="AV28" s="9"/>
      <c r="AW28" s="44"/>
    </row>
    <row r="29" spans="1:50" s="69" customFormat="1" ht="15" customHeight="1">
      <c r="A29" s="76"/>
      <c r="B29" s="15"/>
      <c r="C29" s="15"/>
      <c r="D29" s="15"/>
      <c r="E29" s="15"/>
      <c r="F29" s="72"/>
      <c r="G29" s="18" t="s">
        <v>174</v>
      </c>
      <c r="H29" s="18"/>
      <c r="I29" s="18"/>
      <c r="J29" s="18"/>
      <c r="K29" s="15" t="s">
        <v>30</v>
      </c>
      <c r="L29" s="863">
        <v>178220</v>
      </c>
      <c r="M29" s="863"/>
      <c r="N29" s="18" t="s">
        <v>175</v>
      </c>
      <c r="O29" s="15"/>
      <c r="P29" s="93"/>
      <c r="Q29" s="18"/>
      <c r="R29" s="74"/>
      <c r="S29" s="74"/>
      <c r="T29" s="74"/>
      <c r="U29" s="15"/>
      <c r="V29" s="73"/>
      <c r="Z29" s="18"/>
      <c r="AB29" s="127" t="s">
        <v>176</v>
      </c>
      <c r="AC29" s="15" t="s">
        <v>30</v>
      </c>
      <c r="AD29" s="124"/>
      <c r="AE29" s="18" t="s">
        <v>90</v>
      </c>
      <c r="AF29" s="128" t="s">
        <v>177</v>
      </c>
      <c r="AG29" s="74"/>
      <c r="AH29" s="18"/>
      <c r="AI29" s="18"/>
      <c r="AJ29" s="45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9"/>
      <c r="AV29" s="9"/>
      <c r="AW29" s="44"/>
    </row>
    <row r="30" spans="1:50" s="69" customFormat="1" ht="15" customHeight="1">
      <c r="A30" s="76"/>
      <c r="B30" s="15"/>
      <c r="C30" s="15"/>
      <c r="D30" s="15"/>
      <c r="E30" s="15"/>
      <c r="F30" s="72"/>
      <c r="G30" s="32" t="s">
        <v>178</v>
      </c>
      <c r="H30" s="18"/>
      <c r="I30" s="18"/>
      <c r="J30" s="18"/>
      <c r="K30" s="15"/>
      <c r="L30" s="863">
        <v>141000</v>
      </c>
      <c r="M30" s="863"/>
      <c r="N30" s="18" t="s">
        <v>175</v>
      </c>
      <c r="O30" s="15"/>
      <c r="P30" s="93"/>
      <c r="Q30" s="18"/>
      <c r="R30" s="74"/>
      <c r="S30" s="74"/>
      <c r="T30" s="74"/>
      <c r="U30" s="15"/>
      <c r="V30" s="73"/>
      <c r="W30" s="18"/>
      <c r="X30" s="18"/>
      <c r="Y30" s="18"/>
      <c r="Z30" s="18"/>
      <c r="AB30" s="127" t="s">
        <v>179</v>
      </c>
      <c r="AC30" s="15" t="s">
        <v>30</v>
      </c>
      <c r="AD30" s="124"/>
      <c r="AE30" s="18" t="s">
        <v>90</v>
      </c>
      <c r="AF30" s="128" t="s">
        <v>180</v>
      </c>
      <c r="AG30" s="74"/>
      <c r="AH30" s="18"/>
      <c r="AI30" s="18"/>
      <c r="AJ30" s="45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9"/>
      <c r="AV30" s="9"/>
      <c r="AW30" s="44"/>
    </row>
    <row r="31" spans="1:50" s="69" customFormat="1" ht="15" customHeight="1">
      <c r="A31" s="76"/>
      <c r="B31" s="15"/>
      <c r="C31" s="15"/>
      <c r="D31" s="15"/>
      <c r="E31" s="15"/>
      <c r="F31" s="72"/>
      <c r="G31" s="18" t="s">
        <v>181</v>
      </c>
      <c r="H31" s="18"/>
      <c r="I31" s="18"/>
      <c r="J31" s="18"/>
      <c r="K31" s="15" t="s">
        <v>30</v>
      </c>
      <c r="L31" s="863">
        <v>266000</v>
      </c>
      <c r="M31" s="863"/>
      <c r="N31" s="18" t="s">
        <v>182</v>
      </c>
      <c r="O31" s="15"/>
      <c r="P31" s="18"/>
      <c r="Q31" s="18"/>
      <c r="R31" s="86"/>
      <c r="S31" s="86"/>
      <c r="T31" s="86"/>
      <c r="U31" s="15"/>
      <c r="V31" s="73"/>
      <c r="W31" s="18"/>
      <c r="X31" s="18"/>
      <c r="Y31" s="18"/>
      <c r="Z31" s="18"/>
      <c r="AA31" s="18"/>
      <c r="AC31" s="15"/>
      <c r="AE31" s="18"/>
      <c r="AF31" s="18"/>
      <c r="AG31" s="74"/>
      <c r="AH31" s="18"/>
      <c r="AI31" s="18"/>
      <c r="AJ31" s="45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9"/>
      <c r="AV31" s="9"/>
      <c r="AW31" s="44"/>
    </row>
    <row r="32" spans="1:50" s="69" customFormat="1" ht="15" customHeight="1">
      <c r="A32" s="76"/>
      <c r="B32" s="15"/>
      <c r="C32" s="15"/>
      <c r="D32" s="15"/>
      <c r="E32" s="15"/>
      <c r="F32" s="72"/>
      <c r="G32" s="18" t="s">
        <v>183</v>
      </c>
      <c r="H32" s="18"/>
      <c r="I32" s="18"/>
      <c r="J32" s="18"/>
      <c r="K32" s="15" t="s">
        <v>30</v>
      </c>
      <c r="L32" s="864" t="s">
        <v>184</v>
      </c>
      <c r="M32" s="864"/>
      <c r="N32" s="33"/>
      <c r="O32" s="15"/>
      <c r="P32" s="18"/>
      <c r="Q32" s="18"/>
      <c r="R32" s="86"/>
      <c r="S32" s="86"/>
      <c r="T32" s="86"/>
      <c r="U32" s="15"/>
      <c r="V32" s="73"/>
      <c r="W32" s="18"/>
      <c r="X32" s="18"/>
      <c r="AA32" s="18"/>
      <c r="AC32" s="15"/>
      <c r="AE32" s="18"/>
      <c r="AF32" s="18"/>
      <c r="AG32" s="18"/>
      <c r="AH32" s="18"/>
      <c r="AI32" s="18"/>
      <c r="AJ32" s="45"/>
      <c r="AK32" s="9"/>
      <c r="AL32" s="9"/>
      <c r="AM32" s="9"/>
      <c r="AN32" s="9"/>
      <c r="AO32" s="9"/>
      <c r="AP32" s="9"/>
      <c r="AQ32" s="9"/>
      <c r="AR32" s="9"/>
      <c r="AS32" s="9"/>
      <c r="AT32" s="9"/>
      <c r="AU32" s="9"/>
      <c r="AV32" s="9"/>
      <c r="AW32" s="44"/>
    </row>
    <row r="33" spans="1:49" s="69" customFormat="1" ht="15" customHeight="1">
      <c r="A33" s="76"/>
      <c r="B33" s="15"/>
      <c r="C33" s="15"/>
      <c r="D33" s="15"/>
      <c r="E33" s="15"/>
      <c r="F33" s="72"/>
      <c r="G33" s="18"/>
      <c r="H33" s="18"/>
      <c r="I33" s="18"/>
      <c r="J33" s="18"/>
      <c r="K33" s="865"/>
      <c r="L33" s="865"/>
      <c r="M33" s="865"/>
      <c r="N33" s="18"/>
      <c r="O33" s="18"/>
      <c r="P33" s="18"/>
      <c r="Q33" s="18"/>
      <c r="R33" s="16"/>
      <c r="S33" s="16"/>
      <c r="T33" s="16"/>
      <c r="U33" s="15"/>
      <c r="V33" s="73" t="s">
        <v>185</v>
      </c>
      <c r="W33" s="18"/>
      <c r="X33" s="18"/>
      <c r="AA33" s="18" t="s">
        <v>186</v>
      </c>
      <c r="AC33" s="15" t="s">
        <v>30</v>
      </c>
      <c r="AD33" s="124"/>
      <c r="AE33" s="18" t="s">
        <v>90</v>
      </c>
      <c r="AF33" s="18"/>
      <c r="AG33" s="129" t="s">
        <v>187</v>
      </c>
      <c r="AH33" s="130"/>
      <c r="AI33" s="130"/>
      <c r="AJ33" s="45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44"/>
    </row>
    <row r="34" spans="1:49" s="69" customFormat="1" ht="15" customHeight="1">
      <c r="A34" s="76"/>
      <c r="B34" s="15"/>
      <c r="C34" s="15"/>
      <c r="D34" s="15"/>
      <c r="E34" s="15"/>
      <c r="F34" s="72"/>
      <c r="G34" s="73"/>
      <c r="H34" s="18"/>
      <c r="I34" s="18"/>
      <c r="J34" s="18"/>
      <c r="K34" s="18"/>
      <c r="L34" s="18"/>
      <c r="M34" s="16"/>
      <c r="N34" s="131"/>
      <c r="O34" s="131"/>
      <c r="P34" s="131"/>
      <c r="Q34" s="18"/>
      <c r="R34" s="18"/>
      <c r="S34" s="18"/>
      <c r="T34" s="18"/>
      <c r="U34" s="15"/>
      <c r="V34" s="73"/>
      <c r="W34" s="18"/>
      <c r="X34" s="18"/>
      <c r="AA34" s="18" t="s">
        <v>188</v>
      </c>
      <c r="AC34" s="15" t="s">
        <v>30</v>
      </c>
      <c r="AD34" s="124"/>
      <c r="AE34" s="18" t="s">
        <v>90</v>
      </c>
      <c r="AF34" s="18"/>
      <c r="AG34" s="132" t="s">
        <v>187</v>
      </c>
      <c r="AH34" s="133"/>
      <c r="AI34" s="133"/>
      <c r="AJ34" s="45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44"/>
    </row>
    <row r="35" spans="1:49" s="69" customFormat="1" ht="15" customHeight="1">
      <c r="A35" s="76"/>
      <c r="B35" s="15"/>
      <c r="C35" s="15"/>
      <c r="D35" s="15"/>
      <c r="E35" s="15"/>
      <c r="F35" s="72"/>
      <c r="G35" s="73"/>
      <c r="H35" s="18"/>
      <c r="I35" s="18"/>
      <c r="J35" s="18"/>
      <c r="K35" s="18"/>
      <c r="L35" s="18"/>
      <c r="M35" s="16"/>
      <c r="N35" s="131"/>
      <c r="O35" s="131"/>
      <c r="P35" s="131"/>
      <c r="Q35" s="18"/>
      <c r="R35" s="18"/>
      <c r="S35" s="18"/>
      <c r="T35" s="18"/>
      <c r="U35" s="15"/>
      <c r="V35" s="73"/>
      <c r="W35" s="18"/>
      <c r="X35" s="18"/>
      <c r="AA35" s="18"/>
      <c r="AC35" s="15"/>
      <c r="AD35" s="124"/>
      <c r="AE35" s="18"/>
      <c r="AF35" s="18"/>
      <c r="AG35" s="106"/>
      <c r="AH35" s="18"/>
      <c r="AI35" s="18"/>
      <c r="AJ35" s="45"/>
      <c r="AK35" s="9"/>
      <c r="AL35" s="9"/>
      <c r="AM35" s="9"/>
      <c r="AN35" s="9"/>
      <c r="AO35" s="9"/>
      <c r="AP35" s="9"/>
      <c r="AQ35" s="9"/>
      <c r="AR35" s="9"/>
      <c r="AS35" s="9"/>
      <c r="AT35" s="9"/>
      <c r="AU35" s="9"/>
      <c r="AV35" s="9"/>
      <c r="AW35" s="44"/>
    </row>
    <row r="36" spans="1:49" s="69" customFormat="1" ht="15" customHeight="1">
      <c r="A36" s="76"/>
      <c r="B36" s="15"/>
      <c r="C36" s="15"/>
      <c r="D36" s="15"/>
      <c r="E36" s="15"/>
      <c r="F36" s="72"/>
      <c r="G36" s="134"/>
      <c r="H36" s="135"/>
      <c r="I36" s="77"/>
      <c r="J36" s="77"/>
      <c r="K36" s="77"/>
      <c r="L36" s="136"/>
      <c r="M36" s="136"/>
      <c r="N36" s="136"/>
      <c r="O36" s="136"/>
      <c r="P36" s="18"/>
      <c r="Q36" s="18"/>
      <c r="R36" s="18"/>
      <c r="S36" s="18"/>
      <c r="T36" s="18"/>
      <c r="U36" s="15"/>
      <c r="V36" s="73" t="s">
        <v>189</v>
      </c>
      <c r="W36" s="18"/>
      <c r="X36" s="18"/>
      <c r="AA36" s="18" t="s">
        <v>190</v>
      </c>
      <c r="AC36" s="15" t="s">
        <v>30</v>
      </c>
      <c r="AD36" s="124"/>
      <c r="AE36" s="18" t="s">
        <v>175</v>
      </c>
      <c r="AF36" s="18"/>
      <c r="AG36" s="106"/>
      <c r="AH36" s="18"/>
      <c r="AI36" s="18"/>
      <c r="AJ36" s="45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44"/>
    </row>
    <row r="37" spans="1:49" s="69" customFormat="1" ht="15" customHeight="1">
      <c r="A37" s="76"/>
      <c r="B37" s="15"/>
      <c r="C37" s="15"/>
      <c r="D37" s="15"/>
      <c r="E37" s="15"/>
      <c r="F37" s="72"/>
      <c r="G37" s="137"/>
      <c r="H37" s="137"/>
      <c r="I37" s="138"/>
      <c r="J37" s="138"/>
      <c r="K37" s="139"/>
      <c r="L37" s="138"/>
      <c r="M37" s="140"/>
      <c r="N37" s="139"/>
      <c r="O37" s="138"/>
      <c r="P37" s="18"/>
      <c r="Q37" s="18"/>
      <c r="R37" s="18"/>
      <c r="S37" s="18"/>
      <c r="T37" s="18"/>
      <c r="U37" s="15"/>
      <c r="V37" s="73"/>
      <c r="W37" s="18"/>
      <c r="X37" s="18"/>
      <c r="AA37" s="18"/>
      <c r="AC37" s="15"/>
      <c r="AD37" s="125"/>
      <c r="AE37" s="18"/>
      <c r="AF37" s="18"/>
      <c r="AG37" s="106"/>
      <c r="AH37" s="18"/>
      <c r="AI37" s="18"/>
      <c r="AJ37" s="45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9"/>
      <c r="AV37" s="9"/>
      <c r="AW37" s="44"/>
    </row>
    <row r="38" spans="1:49" s="69" customFormat="1" ht="15" customHeight="1">
      <c r="A38" s="76"/>
      <c r="B38" s="15"/>
      <c r="C38" s="15"/>
      <c r="D38" s="15"/>
      <c r="E38" s="15"/>
      <c r="F38" s="72"/>
      <c r="G38" s="135"/>
      <c r="H38" s="137"/>
      <c r="I38" s="138"/>
      <c r="J38" s="138"/>
      <c r="K38" s="139"/>
      <c r="L38" s="138"/>
      <c r="M38" s="138"/>
      <c r="N38" s="139"/>
      <c r="O38" s="138"/>
      <c r="P38" s="18"/>
      <c r="Q38" s="18"/>
      <c r="R38" s="18"/>
      <c r="S38" s="18"/>
      <c r="T38" s="18"/>
      <c r="U38" s="15"/>
      <c r="V38" s="73" t="s">
        <v>191</v>
      </c>
      <c r="W38" s="18"/>
      <c r="X38" s="18"/>
      <c r="Y38" s="18"/>
      <c r="Z38" s="18"/>
      <c r="AA38" s="18"/>
      <c r="AC38" s="15" t="s">
        <v>30</v>
      </c>
      <c r="AD38" s="124"/>
      <c r="AE38" s="18" t="s">
        <v>175</v>
      </c>
      <c r="AF38" s="18"/>
      <c r="AG38" s="106"/>
      <c r="AH38" s="18"/>
      <c r="AI38" s="18"/>
      <c r="AJ38" s="45"/>
      <c r="AK38" s="9"/>
      <c r="AL38" s="9"/>
      <c r="AM38" s="9"/>
      <c r="AN38" s="9"/>
      <c r="AO38" s="9"/>
      <c r="AP38" s="9"/>
      <c r="AQ38" s="9"/>
      <c r="AR38" s="9"/>
      <c r="AS38" s="9"/>
      <c r="AT38" s="9"/>
      <c r="AU38" s="9"/>
      <c r="AV38" s="9"/>
      <c r="AW38" s="44"/>
    </row>
    <row r="39" spans="1:49" s="69" customFormat="1" ht="15" customHeight="1">
      <c r="A39" s="76"/>
      <c r="B39" s="15"/>
      <c r="C39" s="15"/>
      <c r="D39" s="15"/>
      <c r="E39" s="15"/>
      <c r="F39" s="72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5"/>
      <c r="V39" s="73"/>
      <c r="W39" s="18"/>
      <c r="X39" s="18"/>
      <c r="Y39" s="18"/>
      <c r="Z39" s="18"/>
      <c r="AA39" s="18"/>
      <c r="AB39" s="15"/>
      <c r="AC39" s="141"/>
      <c r="AD39" s="141"/>
      <c r="AE39" s="141"/>
      <c r="AF39" s="141"/>
      <c r="AG39" s="106"/>
      <c r="AH39" s="18"/>
      <c r="AI39" s="18"/>
      <c r="AJ39" s="45"/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9"/>
      <c r="AV39" s="9"/>
      <c r="AW39" s="44"/>
    </row>
    <row r="40" spans="1:49" s="69" customFormat="1" ht="15" customHeight="1">
      <c r="A40" s="76"/>
      <c r="B40" s="15"/>
      <c r="C40" s="15"/>
      <c r="D40" s="15"/>
      <c r="E40" s="15"/>
      <c r="F40" s="72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5"/>
      <c r="V40" s="73"/>
      <c r="W40" s="18"/>
      <c r="X40" s="18"/>
      <c r="Y40" s="18"/>
      <c r="Z40" s="18"/>
      <c r="AA40" s="18"/>
      <c r="AB40" s="15"/>
      <c r="AC40" s="141"/>
      <c r="AD40" s="141"/>
      <c r="AE40" s="141"/>
      <c r="AF40" s="141"/>
      <c r="AG40" s="106"/>
      <c r="AH40" s="18"/>
      <c r="AI40" s="18"/>
      <c r="AJ40" s="45"/>
      <c r="AK40" s="9"/>
      <c r="AL40" s="9"/>
      <c r="AM40" s="9"/>
      <c r="AN40" s="9"/>
      <c r="AO40" s="9"/>
      <c r="AP40" s="9"/>
      <c r="AQ40" s="9"/>
      <c r="AR40" s="9"/>
      <c r="AS40" s="9"/>
      <c r="AT40" s="9"/>
      <c r="AU40" s="9"/>
      <c r="AV40" s="9"/>
      <c r="AW40" s="44"/>
    </row>
    <row r="41" spans="1:49" s="69" customFormat="1" ht="15" customHeight="1">
      <c r="A41" s="76"/>
      <c r="B41" s="15"/>
      <c r="C41" s="15"/>
      <c r="D41" s="15"/>
      <c r="E41" s="15"/>
      <c r="F41" s="72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5"/>
      <c r="V41" s="73" t="s">
        <v>192</v>
      </c>
      <c r="W41" s="18"/>
      <c r="X41" s="18"/>
      <c r="Y41" s="18"/>
      <c r="Z41" s="18"/>
      <c r="AA41" s="18"/>
      <c r="AB41" s="127" t="s">
        <v>193</v>
      </c>
      <c r="AC41" s="15" t="s">
        <v>30</v>
      </c>
      <c r="AD41" s="124"/>
      <c r="AE41" s="142" t="s">
        <v>90</v>
      </c>
      <c r="AF41" s="141"/>
      <c r="AG41" s="106"/>
      <c r="AH41" s="18"/>
      <c r="AI41" s="18"/>
      <c r="AJ41" s="45"/>
      <c r="AK41" s="9"/>
      <c r="AL41" s="9"/>
      <c r="AM41" s="9"/>
      <c r="AN41" s="9"/>
      <c r="AO41" s="9"/>
      <c r="AP41" s="9"/>
      <c r="AQ41" s="9"/>
      <c r="AR41" s="9"/>
      <c r="AS41" s="9"/>
      <c r="AT41" s="9"/>
      <c r="AU41" s="9"/>
      <c r="AV41" s="9"/>
      <c r="AW41" s="44"/>
    </row>
    <row r="42" spans="1:49" s="69" customFormat="1" ht="15" customHeight="1">
      <c r="A42" s="76"/>
      <c r="B42" s="15"/>
      <c r="C42" s="15"/>
      <c r="D42" s="15"/>
      <c r="E42" s="15"/>
      <c r="F42" s="72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5"/>
      <c r="V42" s="73"/>
      <c r="W42" s="18"/>
      <c r="X42" s="18"/>
      <c r="Y42" s="18"/>
      <c r="Z42" s="18"/>
      <c r="AA42" s="18"/>
      <c r="AB42" s="127" t="s">
        <v>194</v>
      </c>
      <c r="AC42" s="15" t="s">
        <v>30</v>
      </c>
      <c r="AD42" s="124"/>
      <c r="AE42" s="142" t="s">
        <v>90</v>
      </c>
      <c r="AF42" s="141"/>
      <c r="AG42" s="106"/>
      <c r="AH42" s="18"/>
      <c r="AI42" s="18"/>
      <c r="AJ42" s="45"/>
      <c r="AK42" s="9"/>
      <c r="AL42" s="9"/>
      <c r="AM42" s="9"/>
      <c r="AN42" s="9"/>
      <c r="AO42" s="9"/>
      <c r="AP42" s="9"/>
      <c r="AQ42" s="9"/>
      <c r="AR42" s="9"/>
      <c r="AS42" s="9"/>
      <c r="AT42" s="9"/>
      <c r="AU42" s="9"/>
      <c r="AV42" s="9"/>
      <c r="AW42" s="44"/>
    </row>
    <row r="43" spans="1:49" s="69" customFormat="1" ht="15" customHeight="1">
      <c r="A43" s="76"/>
      <c r="B43" s="15"/>
      <c r="C43" s="15"/>
      <c r="D43" s="15"/>
      <c r="E43" s="15"/>
      <c r="F43" s="15"/>
      <c r="G43" s="76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21"/>
      <c r="V43" s="73"/>
      <c r="W43" s="18"/>
      <c r="X43" s="18"/>
      <c r="Y43" s="18"/>
      <c r="Z43" s="18"/>
      <c r="AA43" s="18"/>
      <c r="AB43" s="16"/>
      <c r="AD43" s="131"/>
      <c r="AE43" s="131"/>
      <c r="AF43" s="18"/>
      <c r="AG43" s="15"/>
      <c r="AH43" s="15"/>
      <c r="AI43" s="15"/>
      <c r="AJ43" s="45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9"/>
      <c r="AV43" s="9"/>
      <c r="AW43" s="44"/>
    </row>
    <row r="44" spans="1:49" s="69" customFormat="1" ht="15" customHeight="1">
      <c r="A44" s="73"/>
      <c r="B44" s="18"/>
      <c r="C44" s="18"/>
      <c r="D44" s="18"/>
      <c r="E44" s="18"/>
      <c r="F44" s="72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6"/>
      <c r="V44" s="73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5"/>
      <c r="AH44" s="15"/>
      <c r="AI44" s="16"/>
      <c r="AJ44" s="143"/>
      <c r="AK44" s="40"/>
      <c r="AL44" s="40"/>
      <c r="AM44" s="40"/>
      <c r="AN44" s="40"/>
      <c r="AO44" s="40"/>
      <c r="AP44" s="40"/>
      <c r="AQ44" s="40"/>
      <c r="AR44" s="9"/>
      <c r="AS44" s="9"/>
      <c r="AT44" s="9"/>
      <c r="AU44" s="9"/>
      <c r="AV44" s="9"/>
      <c r="AW44" s="144"/>
    </row>
    <row r="45" spans="1:49" s="69" customFormat="1" ht="15" customHeight="1">
      <c r="A45" s="73"/>
      <c r="B45" s="18"/>
      <c r="C45" s="18"/>
      <c r="D45" s="18"/>
      <c r="E45" s="18"/>
      <c r="F45" s="72"/>
      <c r="G45" s="30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6"/>
      <c r="V45" s="68"/>
      <c r="W45" s="18"/>
      <c r="X45" s="18"/>
      <c r="Y45" s="18"/>
      <c r="Z45" s="18"/>
      <c r="AA45" s="18"/>
      <c r="AB45" s="18"/>
      <c r="AC45" s="18"/>
      <c r="AD45" s="18"/>
      <c r="AE45" s="18"/>
      <c r="AF45" s="18"/>
      <c r="AG45" s="15"/>
      <c r="AH45" s="15"/>
      <c r="AI45" s="16"/>
      <c r="AJ45" s="145"/>
      <c r="AK45" s="40"/>
      <c r="AL45" s="40"/>
      <c r="AM45" s="40"/>
      <c r="AN45" s="40"/>
      <c r="AO45" s="40"/>
      <c r="AP45" s="40"/>
      <c r="AQ45" s="40"/>
      <c r="AR45" s="9"/>
      <c r="AS45" s="9"/>
      <c r="AT45" s="9"/>
      <c r="AU45" s="9"/>
      <c r="AV45" s="9"/>
      <c r="AW45" s="144"/>
    </row>
    <row r="46" spans="1:49" s="69" customFormat="1" ht="15" customHeight="1">
      <c r="A46" s="76"/>
      <c r="B46" s="15"/>
      <c r="C46" s="15"/>
      <c r="D46" s="15"/>
      <c r="E46" s="15"/>
      <c r="F46" s="72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5"/>
      <c r="V46" s="73"/>
      <c r="W46" s="18"/>
      <c r="X46" s="18"/>
      <c r="Y46" s="18"/>
      <c r="Z46" s="18"/>
      <c r="AA46" s="18"/>
      <c r="AB46" s="18"/>
      <c r="AC46" s="18"/>
      <c r="AD46" s="18"/>
      <c r="AE46" s="18"/>
      <c r="AF46" s="16"/>
      <c r="AG46" s="15"/>
      <c r="AH46" s="15"/>
      <c r="AI46" s="15"/>
      <c r="AJ46" s="143"/>
      <c r="AK46" s="9"/>
      <c r="AL46" s="9"/>
      <c r="AM46" s="9"/>
      <c r="AN46" s="9"/>
      <c r="AO46" s="9"/>
      <c r="AP46" s="9"/>
      <c r="AQ46" s="9"/>
      <c r="AR46" s="9"/>
      <c r="AS46" s="9"/>
      <c r="AT46" s="9"/>
      <c r="AU46" s="9"/>
      <c r="AV46" s="9"/>
      <c r="AW46" s="44"/>
    </row>
    <row r="47" spans="1:49" s="69" customFormat="1" ht="15" customHeight="1">
      <c r="A47" s="76"/>
      <c r="B47" s="15"/>
      <c r="C47" s="15"/>
      <c r="D47" s="15"/>
      <c r="E47" s="15"/>
      <c r="F47" s="72"/>
      <c r="G47" s="18"/>
      <c r="H47" s="18"/>
      <c r="I47" s="18"/>
      <c r="J47" s="18"/>
      <c r="K47" s="18"/>
      <c r="L47" s="18"/>
      <c r="M47" s="866"/>
      <c r="N47" s="866"/>
      <c r="O47" s="866"/>
      <c r="P47" s="866"/>
      <c r="Q47" s="18"/>
      <c r="R47" s="18"/>
      <c r="S47" s="18"/>
      <c r="T47" s="18"/>
      <c r="U47" s="15"/>
      <c r="V47" s="73"/>
      <c r="W47" s="18"/>
      <c r="X47" s="18"/>
      <c r="Y47" s="18"/>
      <c r="Z47" s="18"/>
      <c r="AA47" s="18"/>
      <c r="AB47" s="18"/>
      <c r="AC47" s="18"/>
      <c r="AD47" s="18"/>
      <c r="AE47" s="18"/>
      <c r="AF47" s="18"/>
      <c r="AG47" s="15"/>
      <c r="AH47" s="15"/>
      <c r="AI47" s="15"/>
      <c r="AJ47" s="143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44"/>
    </row>
    <row r="48" spans="1:49" s="69" customFormat="1" ht="15" customHeight="1">
      <c r="A48" s="76"/>
      <c r="B48" s="15"/>
      <c r="C48" s="15"/>
      <c r="D48" s="15"/>
      <c r="E48" s="15"/>
      <c r="F48" s="72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5"/>
      <c r="V48" s="73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5"/>
      <c r="AH48" s="15"/>
      <c r="AI48" s="15"/>
      <c r="AJ48" s="45"/>
      <c r="AK48" s="9"/>
      <c r="AL48" s="9"/>
      <c r="AM48" s="9"/>
      <c r="AN48" s="9"/>
      <c r="AO48" s="9"/>
      <c r="AP48" s="9"/>
      <c r="AQ48" s="9"/>
      <c r="AR48" s="9"/>
      <c r="AS48" s="9"/>
      <c r="AT48" s="9"/>
      <c r="AU48" s="9"/>
      <c r="AV48" s="9"/>
      <c r="AW48" s="44"/>
    </row>
    <row r="49" spans="1:49" s="69" customFormat="1" ht="15" customHeight="1">
      <c r="A49" s="76"/>
      <c r="B49" s="15"/>
      <c r="C49" s="15"/>
      <c r="D49" s="15"/>
      <c r="E49" s="15"/>
      <c r="F49" s="72"/>
      <c r="G49" s="18"/>
      <c r="H49" s="18"/>
      <c r="I49" s="18"/>
      <c r="J49" s="18"/>
      <c r="K49" s="18"/>
      <c r="L49" s="18"/>
      <c r="M49" s="861"/>
      <c r="N49" s="861"/>
      <c r="O49" s="861"/>
      <c r="P49" s="861"/>
      <c r="Q49" s="18"/>
      <c r="R49" s="18"/>
      <c r="S49" s="18"/>
      <c r="T49" s="18"/>
      <c r="U49" s="15"/>
      <c r="V49" s="73"/>
      <c r="W49" s="147"/>
      <c r="X49" s="18"/>
      <c r="Y49" s="18"/>
      <c r="Z49" s="18"/>
      <c r="AA49" s="18"/>
      <c r="AB49" s="18"/>
      <c r="AC49" s="18"/>
      <c r="AD49" s="18"/>
      <c r="AE49" s="18"/>
      <c r="AF49" s="18"/>
      <c r="AG49" s="15"/>
      <c r="AH49" s="15"/>
      <c r="AI49" s="15"/>
      <c r="AJ49" s="45"/>
      <c r="AK49" s="9"/>
      <c r="AL49" s="9"/>
      <c r="AM49" s="9"/>
      <c r="AN49" s="601"/>
      <c r="AO49" s="9"/>
      <c r="AP49" s="9"/>
      <c r="AQ49" s="9"/>
      <c r="AR49" s="9"/>
      <c r="AS49" s="9"/>
      <c r="AT49" s="9"/>
      <c r="AU49" s="9"/>
      <c r="AV49" s="9"/>
      <c r="AW49" s="44"/>
    </row>
    <row r="50" spans="1:49" s="69" customFormat="1" ht="15" customHeight="1">
      <c r="A50" s="76"/>
      <c r="B50" s="15"/>
      <c r="C50" s="15"/>
      <c r="D50" s="15"/>
      <c r="E50" s="15"/>
      <c r="F50" s="72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5"/>
      <c r="V50" s="148"/>
      <c r="W50" s="18"/>
      <c r="X50" s="18"/>
      <c r="Y50" s="18"/>
      <c r="Z50" s="18"/>
      <c r="AA50" s="18"/>
      <c r="AB50" s="18"/>
      <c r="AC50" s="18"/>
      <c r="AD50" s="18"/>
      <c r="AE50" s="18"/>
      <c r="AF50" s="18"/>
      <c r="AG50" s="32"/>
      <c r="AH50" s="15"/>
      <c r="AI50" s="15"/>
      <c r="AJ50" s="45"/>
      <c r="AK50" s="9"/>
      <c r="AL50" s="9"/>
      <c r="AM50" s="9"/>
      <c r="AN50" s="9"/>
      <c r="AO50" s="616"/>
      <c r="AP50" s="616"/>
      <c r="AQ50" s="616"/>
      <c r="AR50" s="9"/>
      <c r="AS50" s="9"/>
      <c r="AT50" s="9"/>
      <c r="AU50" s="9"/>
      <c r="AV50" s="9"/>
      <c r="AW50" s="44"/>
    </row>
    <row r="51" spans="1:49" s="69" customFormat="1" ht="15" customHeight="1">
      <c r="A51" s="76"/>
      <c r="B51" s="15"/>
      <c r="C51" s="15"/>
      <c r="D51" s="15"/>
      <c r="E51" s="15"/>
      <c r="F51" s="72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5"/>
      <c r="V51" s="73"/>
      <c r="W51" s="18"/>
      <c r="X51" s="18"/>
      <c r="Y51" s="18"/>
      <c r="Z51" s="18"/>
      <c r="AA51" s="18"/>
      <c r="AB51" s="18"/>
      <c r="AC51" s="18"/>
      <c r="AD51" s="18"/>
      <c r="AE51" s="18"/>
      <c r="AF51" s="18"/>
      <c r="AG51" s="15"/>
      <c r="AH51" s="15"/>
      <c r="AI51" s="15"/>
      <c r="AJ51" s="45"/>
      <c r="AK51" s="9"/>
      <c r="AL51" s="9"/>
      <c r="AM51" s="9"/>
      <c r="AN51" s="9"/>
      <c r="AO51" s="36"/>
      <c r="AP51" s="36"/>
      <c r="AQ51" s="36"/>
      <c r="AR51" s="9"/>
      <c r="AS51" s="9"/>
      <c r="AT51" s="9"/>
      <c r="AU51" s="9"/>
      <c r="AV51" s="9"/>
      <c r="AW51" s="44"/>
    </row>
    <row r="52" spans="1:49" s="69" customFormat="1" ht="15" customHeight="1">
      <c r="A52" s="76"/>
      <c r="B52" s="15"/>
      <c r="C52" s="15"/>
      <c r="D52" s="15"/>
      <c r="E52" s="15"/>
      <c r="F52" s="72"/>
      <c r="G52" s="18"/>
      <c r="H52" s="18"/>
      <c r="I52" s="18"/>
      <c r="J52" s="18"/>
      <c r="K52" s="18"/>
      <c r="L52" s="18"/>
      <c r="M52" s="15"/>
      <c r="N52" s="146"/>
      <c r="O52" s="861"/>
      <c r="P52" s="861"/>
      <c r="Q52" s="18"/>
      <c r="R52" s="18"/>
      <c r="S52" s="18"/>
      <c r="T52" s="18"/>
      <c r="U52" s="15"/>
      <c r="V52" s="73"/>
      <c r="W52" s="18"/>
      <c r="X52" s="18"/>
      <c r="Y52" s="18"/>
      <c r="Z52" s="16"/>
      <c r="AA52" s="16"/>
      <c r="AB52" s="16"/>
      <c r="AC52" s="16"/>
      <c r="AD52" s="16"/>
      <c r="AE52" s="18"/>
      <c r="AF52" s="18"/>
      <c r="AG52" s="15"/>
      <c r="AH52" s="15"/>
      <c r="AI52" s="15"/>
      <c r="AJ52" s="45"/>
      <c r="AK52" s="9"/>
      <c r="AL52" s="9"/>
      <c r="AM52" s="9"/>
      <c r="AN52" s="9"/>
      <c r="AO52" s="9"/>
      <c r="AP52" s="9"/>
      <c r="AQ52" s="9"/>
      <c r="AR52" s="9"/>
      <c r="AS52" s="9"/>
      <c r="AT52" s="9"/>
      <c r="AU52" s="9"/>
      <c r="AV52" s="9"/>
      <c r="AW52" s="44"/>
    </row>
    <row r="53" spans="1:49" s="69" customFormat="1" ht="15" customHeight="1">
      <c r="A53" s="76"/>
      <c r="B53" s="15"/>
      <c r="C53" s="15"/>
      <c r="D53" s="15"/>
      <c r="E53" s="15"/>
      <c r="F53" s="72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5"/>
      <c r="V53" s="73"/>
      <c r="W53" s="80"/>
      <c r="X53" s="149"/>
      <c r="Y53" s="149"/>
      <c r="Z53" s="80"/>
      <c r="AA53" s="80"/>
      <c r="AB53" s="80"/>
      <c r="AC53" s="80"/>
      <c r="AD53" s="149"/>
      <c r="AE53" s="149"/>
      <c r="AF53" s="80"/>
      <c r="AG53" s="15"/>
      <c r="AH53" s="15"/>
      <c r="AI53" s="15"/>
      <c r="AJ53" s="45"/>
      <c r="AK53" s="9"/>
      <c r="AL53" s="9"/>
      <c r="AM53" s="9"/>
      <c r="AN53" s="9"/>
      <c r="AO53" s="40"/>
      <c r="AP53" s="9"/>
      <c r="AQ53" s="9"/>
      <c r="AR53" s="9"/>
      <c r="AS53" s="9"/>
      <c r="AT53" s="9"/>
      <c r="AU53" s="9"/>
      <c r="AV53" s="9"/>
      <c r="AW53" s="44"/>
    </row>
    <row r="54" spans="1:49" s="69" customFormat="1" ht="15" customHeight="1">
      <c r="A54" s="76"/>
      <c r="B54" s="15"/>
      <c r="C54" s="15"/>
      <c r="D54" s="15"/>
      <c r="E54" s="15"/>
      <c r="F54" s="72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5"/>
      <c r="V54" s="73"/>
      <c r="W54" s="18"/>
      <c r="X54" s="18"/>
      <c r="Y54" s="18"/>
      <c r="Z54" s="18"/>
      <c r="AA54" s="18"/>
      <c r="AB54" s="18"/>
      <c r="AC54" s="18"/>
      <c r="AD54" s="18"/>
      <c r="AE54" s="18"/>
      <c r="AF54" s="18"/>
      <c r="AG54" s="15"/>
      <c r="AH54" s="15"/>
      <c r="AI54" s="15"/>
      <c r="AJ54" s="45"/>
      <c r="AK54" s="9"/>
      <c r="AL54" s="9"/>
      <c r="AM54" s="9"/>
      <c r="AN54" s="9"/>
      <c r="AO54" s="40"/>
      <c r="AP54" s="9"/>
      <c r="AQ54" s="9"/>
      <c r="AR54" s="9"/>
      <c r="AS54" s="9"/>
      <c r="AT54" s="9"/>
      <c r="AU54" s="9"/>
      <c r="AV54" s="9"/>
      <c r="AW54" s="44"/>
    </row>
    <row r="55" spans="1:49" s="69" customFormat="1" ht="15" customHeight="1">
      <c r="A55" s="76"/>
      <c r="B55" s="15"/>
      <c r="C55" s="15"/>
      <c r="D55" s="15"/>
      <c r="E55" s="15"/>
      <c r="F55" s="72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5"/>
      <c r="V55" s="73"/>
      <c r="W55" s="18"/>
      <c r="X55" s="18"/>
      <c r="Y55" s="18"/>
      <c r="Z55" s="18"/>
      <c r="AA55" s="18"/>
      <c r="AB55" s="18"/>
      <c r="AC55" s="18"/>
      <c r="AD55" s="18"/>
      <c r="AE55" s="18"/>
      <c r="AF55" s="18"/>
      <c r="AG55" s="15"/>
      <c r="AH55" s="15"/>
      <c r="AI55" s="15"/>
      <c r="AJ55" s="45"/>
      <c r="AK55" s="9"/>
      <c r="AL55" s="9"/>
      <c r="AM55" s="9"/>
      <c r="AN55" s="9"/>
      <c r="AO55" s="9"/>
      <c r="AP55" s="9"/>
      <c r="AQ55" s="9"/>
      <c r="AR55" s="9"/>
      <c r="AS55" s="9"/>
      <c r="AT55" s="9"/>
      <c r="AU55" s="9"/>
      <c r="AV55" s="9"/>
      <c r="AW55" s="44"/>
    </row>
    <row r="56" spans="1:49" s="69" customFormat="1" ht="15" customHeight="1">
      <c r="A56" s="76"/>
      <c r="B56" s="15"/>
      <c r="C56" s="15"/>
      <c r="D56" s="15"/>
      <c r="E56" s="15"/>
      <c r="F56" s="72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5"/>
      <c r="V56" s="73"/>
      <c r="W56" s="18"/>
      <c r="X56" s="18"/>
      <c r="Y56" s="18"/>
      <c r="Z56" s="18"/>
      <c r="AA56" s="18"/>
      <c r="AB56" s="18"/>
      <c r="AC56" s="18"/>
      <c r="AD56" s="18"/>
      <c r="AE56" s="18"/>
      <c r="AF56" s="18"/>
      <c r="AG56" s="15"/>
      <c r="AH56" s="15"/>
      <c r="AI56" s="15"/>
      <c r="AJ56" s="45"/>
      <c r="AK56" s="9"/>
      <c r="AL56" s="40"/>
      <c r="AM56" s="602"/>
      <c r="AN56" s="602"/>
      <c r="AO56" s="602"/>
      <c r="AP56" s="602"/>
      <c r="AQ56" s="602"/>
      <c r="AR56" s="602"/>
      <c r="AS56" s="602"/>
      <c r="AT56" s="9"/>
      <c r="AU56" s="40"/>
      <c r="AV56" s="40"/>
      <c r="AW56" s="44"/>
    </row>
    <row r="57" spans="1:49" s="69" customFormat="1" ht="15" customHeight="1">
      <c r="A57" s="76"/>
      <c r="B57" s="15"/>
      <c r="C57" s="15"/>
      <c r="D57" s="15"/>
      <c r="E57" s="15"/>
      <c r="F57" s="72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5"/>
      <c r="V57" s="73"/>
      <c r="W57" s="18"/>
      <c r="X57" s="18"/>
      <c r="Y57" s="18"/>
      <c r="Z57" s="18"/>
      <c r="AA57" s="18"/>
      <c r="AB57" s="18"/>
      <c r="AC57" s="18"/>
      <c r="AD57" s="18"/>
      <c r="AE57" s="18"/>
      <c r="AF57" s="18"/>
      <c r="AG57" s="15"/>
      <c r="AH57" s="15"/>
      <c r="AI57" s="15"/>
      <c r="AJ57" s="45"/>
      <c r="AK57" s="9"/>
      <c r="AL57" s="40"/>
      <c r="AM57" s="602"/>
      <c r="AN57" s="602"/>
      <c r="AO57" s="602"/>
      <c r="AP57" s="602"/>
      <c r="AQ57" s="602"/>
      <c r="AR57" s="602"/>
      <c r="AS57" s="602"/>
      <c r="AT57" s="9"/>
      <c r="AU57" s="40"/>
      <c r="AV57" s="40"/>
      <c r="AW57" s="44"/>
    </row>
    <row r="58" spans="1:49" s="69" customFormat="1" ht="15" customHeight="1">
      <c r="A58" s="76"/>
      <c r="B58" s="15"/>
      <c r="C58" s="15"/>
      <c r="D58" s="15"/>
      <c r="E58" s="15"/>
      <c r="F58" s="72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5"/>
      <c r="V58" s="73"/>
      <c r="W58" s="18"/>
      <c r="X58" s="18"/>
      <c r="Y58" s="18"/>
      <c r="Z58" s="18"/>
      <c r="AA58" s="18"/>
      <c r="AB58" s="18"/>
      <c r="AC58" s="18"/>
      <c r="AD58" s="18"/>
      <c r="AE58" s="18"/>
      <c r="AF58" s="18"/>
      <c r="AG58" s="15"/>
      <c r="AH58" s="15"/>
      <c r="AI58" s="15"/>
      <c r="AJ58" s="45"/>
      <c r="AK58" s="9"/>
      <c r="AL58" s="40"/>
      <c r="AM58" s="602"/>
      <c r="AN58" s="602"/>
      <c r="AO58" s="602"/>
      <c r="AP58" s="602"/>
      <c r="AQ58" s="602"/>
      <c r="AR58" s="602"/>
      <c r="AS58" s="602"/>
      <c r="AT58" s="9"/>
      <c r="AU58" s="40"/>
      <c r="AV58" s="40"/>
      <c r="AW58" s="44"/>
    </row>
    <row r="59" spans="1:49" s="69" customFormat="1" ht="15" customHeight="1">
      <c r="A59" s="76"/>
      <c r="B59" s="15"/>
      <c r="C59" s="15"/>
      <c r="D59" s="15"/>
      <c r="E59" s="15"/>
      <c r="F59" s="72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5"/>
      <c r="V59" s="73"/>
      <c r="W59" s="18"/>
      <c r="X59" s="18"/>
      <c r="Y59" s="18"/>
      <c r="Z59" s="18"/>
      <c r="AA59" s="18"/>
      <c r="AB59" s="18"/>
      <c r="AC59" s="18"/>
      <c r="AD59" s="18"/>
      <c r="AE59" s="18"/>
      <c r="AF59" s="18"/>
      <c r="AG59" s="15"/>
      <c r="AH59" s="15"/>
      <c r="AI59" s="15"/>
      <c r="AJ59" s="45"/>
      <c r="AK59" s="9"/>
      <c r="AL59" s="40"/>
      <c r="AM59" s="602"/>
      <c r="AN59" s="602"/>
      <c r="AO59" s="602"/>
      <c r="AP59" s="602"/>
      <c r="AQ59" s="602"/>
      <c r="AR59" s="602"/>
      <c r="AS59" s="602"/>
      <c r="AT59" s="9"/>
      <c r="AU59" s="40"/>
      <c r="AV59" s="40"/>
      <c r="AW59" s="44"/>
    </row>
    <row r="60" spans="1:49" s="69" customFormat="1" ht="15" customHeight="1">
      <c r="A60" s="76"/>
      <c r="B60" s="15"/>
      <c r="C60" s="15"/>
      <c r="D60" s="15"/>
      <c r="E60" s="15"/>
      <c r="F60" s="72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5"/>
      <c r="V60" s="73"/>
      <c r="W60" s="18"/>
      <c r="X60" s="18"/>
      <c r="Y60" s="18"/>
      <c r="Z60" s="18"/>
      <c r="AA60" s="18"/>
      <c r="AB60" s="18"/>
      <c r="AC60" s="18"/>
      <c r="AD60" s="18"/>
      <c r="AE60" s="18"/>
      <c r="AF60" s="18"/>
      <c r="AG60" s="15"/>
      <c r="AH60" s="15"/>
      <c r="AI60" s="15"/>
      <c r="AJ60" s="45"/>
      <c r="AK60" s="9"/>
      <c r="AL60" s="40"/>
      <c r="AM60" s="602"/>
      <c r="AN60" s="602"/>
      <c r="AO60" s="602"/>
      <c r="AP60" s="602"/>
      <c r="AQ60" s="602"/>
      <c r="AR60" s="602"/>
      <c r="AS60" s="602"/>
      <c r="AT60" s="9"/>
      <c r="AU60" s="40"/>
      <c r="AV60" s="40"/>
      <c r="AW60" s="44"/>
    </row>
    <row r="61" spans="1:49" s="69" customFormat="1" ht="15" customHeight="1">
      <c r="A61" s="76"/>
      <c r="B61" s="15"/>
      <c r="C61" s="15"/>
      <c r="D61" s="15"/>
      <c r="E61" s="15"/>
      <c r="F61" s="72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5"/>
      <c r="V61" s="73"/>
      <c r="W61" s="18"/>
      <c r="X61" s="18"/>
      <c r="Y61" s="18"/>
      <c r="Z61" s="18"/>
      <c r="AA61" s="18"/>
      <c r="AB61" s="18"/>
      <c r="AC61" s="18"/>
      <c r="AD61" s="18"/>
      <c r="AE61" s="18"/>
      <c r="AF61" s="18"/>
      <c r="AG61" s="15"/>
      <c r="AH61" s="15"/>
      <c r="AI61" s="15"/>
      <c r="AJ61" s="45"/>
      <c r="AK61" s="9"/>
      <c r="AL61" s="40"/>
      <c r="AM61" s="602"/>
      <c r="AN61" s="602"/>
      <c r="AO61" s="602"/>
      <c r="AP61" s="602"/>
      <c r="AQ61" s="602"/>
      <c r="AR61" s="602"/>
      <c r="AS61" s="602"/>
      <c r="AT61" s="9"/>
      <c r="AU61" s="40"/>
      <c r="AV61" s="40"/>
      <c r="AW61" s="44"/>
    </row>
    <row r="62" spans="1:49" s="69" customFormat="1" ht="15" customHeight="1">
      <c r="A62" s="76"/>
      <c r="B62" s="15"/>
      <c r="C62" s="15"/>
      <c r="D62" s="15"/>
      <c r="E62" s="15"/>
      <c r="F62" s="72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5"/>
      <c r="V62" s="73"/>
      <c r="W62" s="18"/>
      <c r="X62" s="18"/>
      <c r="Y62" s="18"/>
      <c r="Z62" s="18"/>
      <c r="AA62" s="18"/>
      <c r="AB62" s="18"/>
      <c r="AC62" s="18"/>
      <c r="AD62" s="18"/>
      <c r="AE62" s="18"/>
      <c r="AF62" s="18"/>
      <c r="AG62" s="15"/>
      <c r="AH62" s="15"/>
      <c r="AI62" s="15"/>
      <c r="AJ62" s="45"/>
      <c r="AK62" s="9"/>
      <c r="AL62" s="40"/>
      <c r="AM62" s="602"/>
      <c r="AN62" s="602"/>
      <c r="AO62" s="602"/>
      <c r="AP62" s="602"/>
      <c r="AQ62" s="602"/>
      <c r="AR62" s="602"/>
      <c r="AS62" s="602"/>
      <c r="AT62" s="9"/>
      <c r="AU62" s="40"/>
      <c r="AV62" s="40"/>
      <c r="AW62" s="44"/>
    </row>
    <row r="63" spans="1:49" s="69" customFormat="1" ht="15" customHeight="1">
      <c r="A63" s="76"/>
      <c r="B63" s="15"/>
      <c r="C63" s="15"/>
      <c r="D63" s="15"/>
      <c r="E63" s="15"/>
      <c r="F63" s="72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5"/>
      <c r="V63" s="73"/>
      <c r="W63" s="18"/>
      <c r="X63" s="18"/>
      <c r="Y63" s="18"/>
      <c r="Z63" s="18"/>
      <c r="AA63" s="18"/>
      <c r="AB63" s="18"/>
      <c r="AC63" s="18"/>
      <c r="AD63" s="18"/>
      <c r="AE63" s="18"/>
      <c r="AF63" s="18"/>
      <c r="AG63" s="15"/>
      <c r="AH63" s="15"/>
      <c r="AI63" s="15"/>
      <c r="AJ63" s="45"/>
      <c r="AK63" s="9"/>
      <c r="AL63" s="40"/>
      <c r="AM63" s="602"/>
      <c r="AN63" s="602"/>
      <c r="AO63" s="602"/>
      <c r="AP63" s="602"/>
      <c r="AQ63" s="602"/>
      <c r="AR63" s="602"/>
      <c r="AS63" s="602"/>
      <c r="AT63" s="9"/>
      <c r="AU63" s="40"/>
      <c r="AV63" s="40"/>
      <c r="AW63" s="44"/>
    </row>
    <row r="64" spans="1:49" s="69" customFormat="1" ht="15" customHeight="1">
      <c r="A64" s="76"/>
      <c r="B64" s="15"/>
      <c r="C64" s="15"/>
      <c r="D64" s="15"/>
      <c r="E64" s="15"/>
      <c r="F64" s="72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5"/>
      <c r="V64" s="73"/>
      <c r="W64" s="18"/>
      <c r="X64" s="18"/>
      <c r="Y64" s="18"/>
      <c r="Z64" s="18"/>
      <c r="AA64" s="18"/>
      <c r="AB64" s="18"/>
      <c r="AC64" s="18"/>
      <c r="AD64" s="18"/>
      <c r="AE64" s="18"/>
      <c r="AF64" s="18"/>
      <c r="AG64" s="15"/>
      <c r="AH64" s="15"/>
      <c r="AI64" s="15"/>
      <c r="AJ64" s="45"/>
      <c r="AK64" s="9"/>
      <c r="AL64" s="40"/>
      <c r="AM64" s="602"/>
      <c r="AN64" s="602"/>
      <c r="AO64" s="602"/>
      <c r="AP64" s="602"/>
      <c r="AQ64" s="602"/>
      <c r="AR64" s="602"/>
      <c r="AS64" s="602"/>
      <c r="AT64" s="9"/>
      <c r="AU64" s="40"/>
      <c r="AV64" s="40"/>
      <c r="AW64" s="44"/>
    </row>
    <row r="65" spans="1:49" s="69" customFormat="1" ht="15" customHeight="1">
      <c r="A65" s="76"/>
      <c r="B65" s="15"/>
      <c r="C65" s="15"/>
      <c r="D65" s="15"/>
      <c r="E65" s="15"/>
      <c r="F65" s="72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5"/>
      <c r="V65" s="73"/>
      <c r="W65" s="18"/>
      <c r="X65" s="18"/>
      <c r="Y65" s="18"/>
      <c r="Z65" s="18"/>
      <c r="AA65" s="18"/>
      <c r="AB65" s="18"/>
      <c r="AC65" s="18"/>
      <c r="AD65" s="18"/>
      <c r="AE65" s="18"/>
      <c r="AF65" s="18"/>
      <c r="AG65" s="15"/>
      <c r="AH65" s="15"/>
      <c r="AI65" s="15"/>
      <c r="AJ65" s="45"/>
      <c r="AK65" s="9"/>
      <c r="AL65" s="40"/>
      <c r="AM65" s="602"/>
      <c r="AN65" s="602"/>
      <c r="AO65" s="602"/>
      <c r="AP65" s="602"/>
      <c r="AQ65" s="602"/>
      <c r="AR65" s="602"/>
      <c r="AS65" s="602"/>
      <c r="AT65" s="9"/>
      <c r="AU65" s="40"/>
      <c r="AV65" s="40"/>
      <c r="AW65" s="44"/>
    </row>
    <row r="66" spans="1:49" s="69" customFormat="1" ht="15" customHeight="1">
      <c r="A66" s="76"/>
      <c r="B66" s="15"/>
      <c r="C66" s="15"/>
      <c r="D66" s="15"/>
      <c r="E66" s="15"/>
      <c r="F66" s="72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5"/>
      <c r="V66" s="73"/>
      <c r="W66" s="18"/>
      <c r="X66" s="18"/>
      <c r="Y66" s="18"/>
      <c r="Z66" s="18"/>
      <c r="AA66" s="18"/>
      <c r="AB66" s="18"/>
      <c r="AC66" s="18"/>
      <c r="AD66" s="18"/>
      <c r="AE66" s="18"/>
      <c r="AF66" s="18"/>
      <c r="AG66" s="15"/>
      <c r="AH66" s="15"/>
      <c r="AI66" s="15"/>
      <c r="AJ66" s="45"/>
      <c r="AK66" s="9"/>
      <c r="AL66" s="40"/>
      <c r="AM66" s="602"/>
      <c r="AN66" s="602"/>
      <c r="AO66" s="602"/>
      <c r="AP66" s="602"/>
      <c r="AQ66" s="602"/>
      <c r="AR66" s="602"/>
      <c r="AS66" s="602"/>
      <c r="AT66" s="9"/>
      <c r="AU66" s="40"/>
      <c r="AV66" s="40"/>
      <c r="AW66" s="44"/>
    </row>
    <row r="67" spans="1:49" s="69" customFormat="1" ht="15" customHeight="1">
      <c r="A67" s="76"/>
      <c r="B67" s="15"/>
      <c r="C67" s="15"/>
      <c r="D67" s="15"/>
      <c r="E67" s="15"/>
      <c r="F67" s="72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5"/>
      <c r="V67" s="73"/>
      <c r="W67" s="18"/>
      <c r="X67" s="18"/>
      <c r="Y67" s="18"/>
      <c r="Z67" s="18"/>
      <c r="AA67" s="18"/>
      <c r="AB67" s="18"/>
      <c r="AC67" s="18"/>
      <c r="AD67" s="18"/>
      <c r="AE67" s="18"/>
      <c r="AF67" s="18"/>
      <c r="AG67" s="15"/>
      <c r="AH67" s="15"/>
      <c r="AI67" s="15"/>
      <c r="AJ67" s="45"/>
      <c r="AK67" s="9"/>
      <c r="AL67" s="602"/>
      <c r="AM67" s="602"/>
      <c r="AN67" s="602"/>
      <c r="AO67" s="602"/>
      <c r="AP67" s="602"/>
      <c r="AQ67" s="602"/>
      <c r="AR67" s="602"/>
      <c r="AS67" s="602"/>
      <c r="AT67" s="9"/>
      <c r="AU67" s="40"/>
      <c r="AV67" s="40"/>
      <c r="AW67" s="44"/>
    </row>
    <row r="68" spans="1:49" s="69" customFormat="1" ht="15" customHeight="1">
      <c r="A68" s="76"/>
      <c r="B68" s="15"/>
      <c r="C68" s="15"/>
      <c r="D68" s="15"/>
      <c r="E68" s="15"/>
      <c r="F68" s="72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5"/>
      <c r="V68" s="73"/>
      <c r="W68" s="18"/>
      <c r="X68" s="18"/>
      <c r="Y68" s="18"/>
      <c r="Z68" s="18"/>
      <c r="AA68" s="18"/>
      <c r="AB68" s="18"/>
      <c r="AC68" s="18"/>
      <c r="AD68" s="18"/>
      <c r="AE68" s="18"/>
      <c r="AF68" s="18"/>
      <c r="AG68" s="15"/>
      <c r="AH68" s="15"/>
      <c r="AI68" s="15"/>
      <c r="AJ68" s="45"/>
      <c r="AK68" s="9"/>
      <c r="AL68" s="40"/>
      <c r="AM68" s="9"/>
      <c r="AN68" s="40"/>
      <c r="AO68" s="9"/>
      <c r="AP68" s="9"/>
      <c r="AQ68" s="9"/>
      <c r="AR68" s="9"/>
      <c r="AS68" s="9"/>
      <c r="AT68" s="9"/>
      <c r="AU68" s="40"/>
      <c r="AV68" s="40"/>
      <c r="AW68" s="44"/>
    </row>
    <row r="69" spans="1:49" s="69" customFormat="1" ht="15" customHeight="1">
      <c r="A69" s="76"/>
      <c r="B69" s="15"/>
      <c r="C69" s="15"/>
      <c r="D69" s="15"/>
      <c r="E69" s="15"/>
      <c r="F69" s="72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5"/>
      <c r="V69" s="73"/>
      <c r="W69" s="18"/>
      <c r="X69" s="18"/>
      <c r="Y69" s="18"/>
      <c r="Z69" s="18"/>
      <c r="AA69" s="18"/>
      <c r="AB69" s="18"/>
      <c r="AC69" s="18"/>
      <c r="AD69" s="18"/>
      <c r="AE69" s="18"/>
      <c r="AF69" s="16"/>
      <c r="AG69" s="16"/>
      <c r="AH69" s="15"/>
      <c r="AI69" s="15"/>
      <c r="AJ69" s="45"/>
      <c r="AK69" s="9"/>
      <c r="AL69" s="9"/>
      <c r="AM69" s="9"/>
      <c r="AN69" s="9"/>
      <c r="AO69" s="9"/>
      <c r="AP69" s="9"/>
      <c r="AQ69" s="9"/>
      <c r="AR69" s="9"/>
      <c r="AS69" s="9"/>
      <c r="AT69" s="9"/>
      <c r="AU69" s="9"/>
      <c r="AV69" s="9"/>
      <c r="AW69" s="44"/>
    </row>
    <row r="70" spans="1:49" s="69" customFormat="1" ht="15" customHeight="1">
      <c r="A70" s="76"/>
      <c r="B70" s="15"/>
      <c r="C70" s="15"/>
      <c r="D70" s="15"/>
      <c r="E70" s="15"/>
      <c r="F70" s="72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5"/>
      <c r="V70" s="73"/>
      <c r="W70" s="18"/>
      <c r="X70" s="18"/>
      <c r="Y70" s="18"/>
      <c r="Z70" s="18"/>
      <c r="AA70" s="18"/>
      <c r="AB70" s="18"/>
      <c r="AC70" s="18"/>
      <c r="AD70" s="18"/>
      <c r="AE70" s="18"/>
      <c r="AF70" s="18"/>
      <c r="AG70" s="16"/>
      <c r="AH70" s="15"/>
      <c r="AI70" s="15"/>
      <c r="AJ70" s="150"/>
      <c r="AK70" s="28"/>
      <c r="AL70" s="28"/>
      <c r="AM70" s="28"/>
      <c r="AN70" s="28"/>
      <c r="AO70" s="28"/>
      <c r="AP70" s="28"/>
      <c r="AQ70" s="28"/>
      <c r="AR70" s="28"/>
      <c r="AS70" s="9"/>
      <c r="AT70" s="40"/>
      <c r="AU70" s="151"/>
      <c r="AV70" s="151"/>
      <c r="AW70" s="44"/>
    </row>
    <row r="71" spans="1:49" s="69" customFormat="1" ht="15" customHeight="1">
      <c r="A71" s="76"/>
      <c r="B71" s="15"/>
      <c r="C71" s="15"/>
      <c r="D71" s="15"/>
      <c r="E71" s="15"/>
      <c r="F71" s="72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5"/>
      <c r="V71" s="73"/>
      <c r="W71" s="18"/>
      <c r="X71" s="18"/>
      <c r="Y71" s="18"/>
      <c r="Z71" s="18"/>
      <c r="AA71" s="18"/>
      <c r="AB71" s="18"/>
      <c r="AC71" s="18"/>
      <c r="AD71" s="18"/>
      <c r="AE71" s="18"/>
      <c r="AF71" s="18"/>
      <c r="AG71" s="15"/>
      <c r="AH71" s="15"/>
      <c r="AI71" s="15"/>
      <c r="AJ71" s="152"/>
      <c r="AK71" s="602"/>
      <c r="AL71" s="602"/>
      <c r="AM71" s="602"/>
      <c r="AN71" s="602"/>
      <c r="AO71" s="602"/>
      <c r="AP71" s="602"/>
      <c r="AQ71" s="602"/>
      <c r="AR71" s="602"/>
      <c r="AS71" s="9"/>
      <c r="AT71" s="40"/>
      <c r="AU71" s="151"/>
      <c r="AV71" s="151"/>
      <c r="AW71" s="44"/>
    </row>
    <row r="72" spans="1:49" s="69" customFormat="1" ht="15" customHeight="1">
      <c r="A72" s="76"/>
      <c r="B72" s="15"/>
      <c r="C72" s="15"/>
      <c r="D72" s="15"/>
      <c r="E72" s="15"/>
      <c r="F72" s="72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5"/>
      <c r="V72" s="73"/>
      <c r="W72" s="18"/>
      <c r="X72" s="18"/>
      <c r="Y72" s="18"/>
      <c r="Z72" s="18"/>
      <c r="AA72" s="18"/>
      <c r="AB72" s="18"/>
      <c r="AC72" s="18"/>
      <c r="AD72" s="18"/>
      <c r="AE72" s="18"/>
      <c r="AF72" s="18"/>
      <c r="AG72" s="15"/>
      <c r="AH72" s="15"/>
      <c r="AI72" s="15"/>
      <c r="AJ72" s="152"/>
      <c r="AK72" s="602"/>
      <c r="AL72" s="602"/>
      <c r="AM72" s="602"/>
      <c r="AN72" s="602"/>
      <c r="AO72" s="602"/>
      <c r="AP72" s="602"/>
      <c r="AQ72" s="602"/>
      <c r="AR72" s="602"/>
      <c r="AS72" s="9"/>
      <c r="AT72" s="9"/>
      <c r="AU72" s="151"/>
      <c r="AV72" s="151"/>
      <c r="AW72" s="44"/>
    </row>
    <row r="73" spans="1:49" s="69" customFormat="1" ht="15" customHeight="1">
      <c r="A73" s="73"/>
      <c r="B73" s="18"/>
      <c r="C73" s="18"/>
      <c r="D73" s="18"/>
      <c r="E73" s="18"/>
      <c r="F73" s="72"/>
      <c r="G73" s="18"/>
      <c r="H73" s="18"/>
      <c r="I73" s="18"/>
      <c r="J73" s="18"/>
      <c r="K73" s="18"/>
      <c r="L73" s="18"/>
      <c r="M73" s="15"/>
      <c r="N73" s="15"/>
      <c r="O73" s="15"/>
      <c r="P73" s="18"/>
      <c r="Q73" s="18"/>
      <c r="R73" s="18"/>
      <c r="S73" s="18"/>
      <c r="T73" s="18"/>
      <c r="U73" s="15"/>
      <c r="V73" s="73"/>
      <c r="W73" s="18"/>
      <c r="X73" s="18"/>
      <c r="Y73" s="18"/>
      <c r="Z73" s="18"/>
      <c r="AA73" s="18"/>
      <c r="AB73" s="18"/>
      <c r="AC73" s="18"/>
      <c r="AD73" s="18"/>
      <c r="AE73" s="18"/>
      <c r="AF73" s="18"/>
      <c r="AG73" s="15"/>
      <c r="AH73" s="15"/>
      <c r="AI73" s="16"/>
      <c r="AJ73" s="150"/>
      <c r="AK73" s="28"/>
      <c r="AL73" s="28"/>
      <c r="AM73" s="28"/>
      <c r="AN73" s="28"/>
      <c r="AO73" s="28"/>
      <c r="AP73" s="28"/>
      <c r="AQ73" s="28"/>
      <c r="AR73" s="28"/>
      <c r="AS73" s="9"/>
      <c r="AT73" s="40"/>
      <c r="AU73" s="151"/>
      <c r="AV73" s="151"/>
      <c r="AW73" s="44"/>
    </row>
    <row r="74" spans="1:49" s="69" customFormat="1" ht="15" customHeight="1">
      <c r="A74" s="73"/>
      <c r="B74" s="18"/>
      <c r="C74" s="18"/>
      <c r="D74" s="18"/>
      <c r="E74" s="18"/>
      <c r="F74" s="72"/>
      <c r="G74" s="18"/>
      <c r="H74" s="93"/>
      <c r="I74" s="18"/>
      <c r="J74" s="18"/>
      <c r="K74" s="18"/>
      <c r="L74" s="18"/>
      <c r="M74" s="93"/>
      <c r="N74" s="18"/>
      <c r="O74" s="18"/>
      <c r="P74" s="18"/>
      <c r="Q74" s="18"/>
      <c r="R74" s="18"/>
      <c r="S74" s="18"/>
      <c r="T74" s="18"/>
      <c r="U74" s="15"/>
      <c r="V74" s="73"/>
      <c r="W74" s="18"/>
      <c r="X74" s="18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15"/>
      <c r="AJ74" s="45"/>
      <c r="AK74" s="9"/>
      <c r="AL74" s="9"/>
      <c r="AM74" s="9"/>
      <c r="AN74" s="153"/>
      <c r="AO74" s="153"/>
      <c r="AP74" s="153"/>
      <c r="AQ74" s="153"/>
      <c r="AR74" s="153"/>
      <c r="AS74" s="153"/>
      <c r="AT74" s="153"/>
      <c r="AU74" s="153"/>
      <c r="AV74" s="154"/>
      <c r="AW74" s="155"/>
    </row>
    <row r="75" spans="1:49" s="69" customFormat="1" ht="15" customHeight="1">
      <c r="A75" s="73"/>
      <c r="B75" s="15"/>
      <c r="C75" s="15"/>
      <c r="D75" s="15"/>
      <c r="E75" s="15"/>
      <c r="F75" s="72"/>
      <c r="G75" s="156"/>
      <c r="H75" s="157"/>
      <c r="I75" s="158"/>
      <c r="J75" s="158"/>
      <c r="K75" s="158"/>
      <c r="L75" s="158"/>
      <c r="M75" s="158"/>
      <c r="N75" s="158"/>
      <c r="O75" s="158"/>
      <c r="P75" s="158"/>
      <c r="Q75" s="158"/>
      <c r="R75" s="158"/>
      <c r="S75" s="158"/>
      <c r="T75" s="159"/>
      <c r="U75" s="160"/>
      <c r="V75" s="18"/>
      <c r="W75" s="18"/>
      <c r="X75" s="18"/>
      <c r="Y75" s="18"/>
      <c r="Z75" s="18"/>
      <c r="AA75" s="18"/>
      <c r="AB75" s="18"/>
      <c r="AC75" s="18"/>
      <c r="AD75" s="18"/>
      <c r="AE75" s="18"/>
      <c r="AF75" s="18"/>
      <c r="AG75" s="18"/>
      <c r="AH75" s="18"/>
      <c r="AI75" s="15"/>
      <c r="AJ75" s="45"/>
      <c r="AK75" s="9"/>
      <c r="AL75" s="161"/>
      <c r="AM75" s="9"/>
      <c r="AN75" s="9"/>
      <c r="AO75" s="9"/>
      <c r="AP75" s="603"/>
      <c r="AQ75" s="603"/>
      <c r="AR75" s="9"/>
      <c r="AS75" s="9"/>
      <c r="AT75" s="9"/>
      <c r="AU75" s="9"/>
      <c r="AV75" s="9"/>
      <c r="AW75" s="44"/>
    </row>
    <row r="76" spans="1:49" s="69" customFormat="1" ht="15" customHeight="1">
      <c r="A76" s="73"/>
      <c r="B76" s="18"/>
      <c r="C76" s="18"/>
      <c r="D76" s="18"/>
      <c r="E76" s="18"/>
      <c r="F76" s="72"/>
      <c r="G76" s="157"/>
      <c r="H76" s="157"/>
      <c r="I76" s="158"/>
      <c r="J76" s="158"/>
      <c r="K76" s="158"/>
      <c r="L76" s="158"/>
      <c r="M76" s="158"/>
      <c r="N76" s="158"/>
      <c r="O76" s="158"/>
      <c r="P76" s="158"/>
      <c r="Q76" s="158"/>
      <c r="R76" s="158"/>
      <c r="S76" s="159"/>
      <c r="T76" s="158"/>
      <c r="U76" s="160"/>
      <c r="V76" s="18"/>
      <c r="W76" s="18"/>
      <c r="X76" s="18"/>
      <c r="Y76" s="18"/>
      <c r="Z76" s="162"/>
      <c r="AA76" s="162"/>
      <c r="AB76" s="162"/>
      <c r="AC76" s="162"/>
      <c r="AD76" s="162"/>
      <c r="AE76" s="162"/>
      <c r="AF76" s="162"/>
      <c r="AG76" s="162"/>
      <c r="AH76" s="18"/>
      <c r="AI76" s="15"/>
      <c r="AJ76" s="163"/>
      <c r="AK76" s="40"/>
      <c r="AL76" s="40"/>
      <c r="AM76" s="9"/>
      <c r="AN76" s="9"/>
      <c r="AO76" s="9"/>
      <c r="AP76" s="9"/>
      <c r="AQ76" s="9"/>
      <c r="AR76" s="9"/>
      <c r="AS76" s="9"/>
      <c r="AT76" s="9"/>
      <c r="AU76" s="9"/>
      <c r="AV76" s="9"/>
      <c r="AW76" s="44"/>
    </row>
    <row r="77" spans="1:49" s="69" customFormat="1" ht="15" customHeight="1">
      <c r="A77" s="164"/>
      <c r="B77" s="165"/>
      <c r="C77" s="165"/>
      <c r="D77" s="165"/>
      <c r="E77" s="165"/>
      <c r="F77" s="166"/>
      <c r="G77" s="167"/>
      <c r="H77" s="168"/>
      <c r="I77" s="169"/>
      <c r="J77" s="169"/>
      <c r="K77" s="169"/>
      <c r="L77" s="169"/>
      <c r="M77" s="170"/>
      <c r="N77" s="169"/>
      <c r="O77" s="169"/>
      <c r="P77" s="169"/>
      <c r="Q77" s="169"/>
      <c r="R77" s="169"/>
      <c r="S77" s="171"/>
      <c r="T77" s="169"/>
      <c r="U77" s="172"/>
      <c r="V77" s="173"/>
      <c r="W77" s="174"/>
      <c r="X77" s="174"/>
      <c r="Y77" s="174"/>
      <c r="Z77" s="174"/>
      <c r="AA77" s="174"/>
      <c r="AB77" s="174"/>
      <c r="AC77" s="175"/>
      <c r="AD77" s="174"/>
      <c r="AE77" s="174"/>
      <c r="AF77" s="174"/>
      <c r="AG77" s="174"/>
      <c r="AH77" s="174"/>
      <c r="AI77" s="165"/>
      <c r="AJ77" s="176"/>
      <c r="AK77" s="60"/>
      <c r="AL77" s="60"/>
      <c r="AM77" s="57"/>
      <c r="AN77" s="57"/>
      <c r="AO77" s="57"/>
      <c r="AP77" s="57"/>
      <c r="AQ77" s="57"/>
      <c r="AR77" s="57"/>
      <c r="AS77" s="57"/>
      <c r="AT77" s="57"/>
      <c r="AU77" s="57"/>
      <c r="AV77" s="57"/>
      <c r="AW77" s="63"/>
    </row>
    <row r="78" spans="1:49">
      <c r="A78" s="73"/>
      <c r="B78" s="18"/>
      <c r="C78" s="18"/>
      <c r="D78" s="18"/>
      <c r="E78" s="18"/>
    </row>
  </sheetData>
  <sheetProtection formatCells="0" selectLockedCells="1"/>
  <mergeCells count="24">
    <mergeCell ref="L25:M25"/>
    <mergeCell ref="A1:AT1"/>
    <mergeCell ref="A2:AS2"/>
    <mergeCell ref="A3:F3"/>
    <mergeCell ref="G3:U3"/>
    <mergeCell ref="V3:AI3"/>
    <mergeCell ref="AJ3:AW3"/>
    <mergeCell ref="A4:AW4"/>
    <mergeCell ref="AJ5:AK5"/>
    <mergeCell ref="AJ6:AW22"/>
    <mergeCell ref="AC23:AE23"/>
    <mergeCell ref="AJ24:AL24"/>
    <mergeCell ref="AO50:AQ50"/>
    <mergeCell ref="O52:P52"/>
    <mergeCell ref="L26:M26"/>
    <mergeCell ref="L27:M27"/>
    <mergeCell ref="L28:M28"/>
    <mergeCell ref="L29:M29"/>
    <mergeCell ref="L30:M30"/>
    <mergeCell ref="L31:M31"/>
    <mergeCell ref="L32:M32"/>
    <mergeCell ref="K33:M33"/>
    <mergeCell ref="M47:P47"/>
    <mergeCell ref="M49:P49"/>
  </mergeCells>
  <conditionalFormatting sqref="AC7:AC19 AD33:AD34">
    <cfRule type="containsBlanks" dxfId="42" priority="1" stopIfTrue="1">
      <formula>LEN(TRIM(AC7))=0</formula>
    </cfRule>
  </conditionalFormatting>
  <conditionalFormatting sqref="AD25:AD30 AD36 AD38 AD41:AD42">
    <cfRule type="containsBlanks" dxfId="41" priority="2" stopIfTrue="1">
      <formula>LEN(TRIM(AD25))=0</formula>
    </cfRule>
  </conditionalFormatting>
  <dataValidations count="3">
    <dataValidation type="list" allowBlank="1" showInputMessage="1" showErrorMessage="1" sqref="AC19" xr:uid="{A06F953D-1F15-4D34-B317-65DC9A80F9E3}">
      <formula1>"Gas Burning, GCU, Reliq Plant,N/A,?"</formula1>
    </dataValidation>
    <dataValidation type="list" allowBlank="1" showInputMessage="1" showErrorMessage="1" sqref="AC18" xr:uid="{A94A5D91-CB7A-41E0-A695-35807332CC89}">
      <formula1>"Gas Burning, GCU, Reliq Plant,?"</formula1>
    </dataValidation>
    <dataValidation type="list" allowBlank="1" showInputMessage="1" showErrorMessage="1" sqref="AC15" xr:uid="{F2E7C83A-E05E-4A89-AC98-FB286E6FD852}">
      <formula1>"Moss-Type,Membrane,Other,?"</formula1>
    </dataValidation>
  </dataValidations>
  <printOptions horizontalCentered="1"/>
  <pageMargins left="0.25" right="0.22" top="0.39370078740157499" bottom="0.23" header="0" footer="0"/>
  <pageSetup paperSize="9" scale="44" orientation="landscape" r:id="rId1"/>
  <headerFooter alignWithMargins="0">
    <oddHeader>&amp;LPELNG-F-MO.T2-0026 Rev. 00&amp;C&amp;REffective Date: 22/04/2026</oddHeader>
    <oddFooter>&amp;L&amp;C&amp;R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288BA5-5F17-4955-9DF0-13912C259780}">
  <dimension ref="A1:BA84"/>
  <sheetViews>
    <sheetView view="pageBreakPreview" topLeftCell="H1" zoomScale="52" zoomScaleNormal="70" zoomScaleSheetLayoutView="70" zoomScalePageLayoutView="53" workbookViewId="0">
      <selection activeCell="AG30" sqref="AG30"/>
    </sheetView>
  </sheetViews>
  <sheetFormatPr defaultColWidth="9.109375" defaultRowHeight="13.8"/>
  <cols>
    <col min="1" max="5" width="6.6640625" style="15" customWidth="1"/>
    <col min="6" max="6" width="9.33203125" style="18" customWidth="1"/>
    <col min="7" max="8" width="6.6640625" style="18" customWidth="1"/>
    <col min="9" max="9" width="11" style="18" customWidth="1"/>
    <col min="10" max="10" width="6.6640625" style="18" customWidth="1"/>
    <col min="11" max="11" width="7.44140625" style="18" customWidth="1"/>
    <col min="12" max="21" width="6.6640625" style="18" customWidth="1"/>
    <col min="22" max="22" width="6.6640625" style="15" customWidth="1"/>
    <col min="23" max="25" width="6.6640625" style="18" customWidth="1"/>
    <col min="26" max="26" width="8.77734375" style="18" customWidth="1"/>
    <col min="27" max="27" width="7.33203125" style="18" customWidth="1"/>
    <col min="28" max="28" width="7.109375" style="18" bestFit="1" customWidth="1"/>
    <col min="29" max="32" width="6.6640625" style="18" customWidth="1"/>
    <col min="33" max="33" width="8.77734375" style="18" customWidth="1"/>
    <col min="34" max="34" width="6.6640625" style="15" customWidth="1"/>
    <col min="35" max="35" width="8" style="15" customWidth="1"/>
    <col min="36" max="36" width="10.6640625" style="15" customWidth="1"/>
    <col min="37" max="37" width="6.33203125" style="15" customWidth="1"/>
    <col min="38" max="38" width="8.5546875" style="15" customWidth="1"/>
    <col min="39" max="49" width="6.33203125" style="15" customWidth="1"/>
    <col min="50" max="50" width="15.109375" style="15" customWidth="1"/>
    <col min="51" max="52" width="9.109375" style="15" customWidth="1"/>
    <col min="53" max="53" width="9.5546875" style="15" bestFit="1" customWidth="1"/>
    <col min="54" max="57" width="9.109375" style="15" customWidth="1"/>
    <col min="58" max="16384" width="9.109375" style="15"/>
  </cols>
  <sheetData>
    <row r="1" spans="1:53" ht="24.9" customHeight="1">
      <c r="A1" s="830" t="s">
        <v>6</v>
      </c>
      <c r="B1" s="831"/>
      <c r="C1" s="831"/>
      <c r="D1" s="831"/>
      <c r="E1" s="831"/>
      <c r="F1" s="831"/>
      <c r="G1" s="831"/>
      <c r="H1" s="831"/>
      <c r="I1" s="831"/>
      <c r="J1" s="831"/>
      <c r="K1" s="831"/>
      <c r="L1" s="831"/>
      <c r="M1" s="831"/>
      <c r="N1" s="831"/>
      <c r="O1" s="831"/>
      <c r="P1" s="831"/>
      <c r="Q1" s="831"/>
      <c r="R1" s="831"/>
      <c r="S1" s="831"/>
      <c r="T1" s="831"/>
      <c r="U1" s="831"/>
      <c r="V1" s="831"/>
      <c r="W1" s="831"/>
      <c r="X1" s="831"/>
      <c r="Y1" s="831"/>
      <c r="Z1" s="831"/>
      <c r="AA1" s="831"/>
      <c r="AB1" s="831"/>
      <c r="AC1" s="831"/>
      <c r="AD1" s="831"/>
      <c r="AE1" s="831"/>
      <c r="AF1" s="831"/>
      <c r="AG1" s="831"/>
      <c r="AH1" s="831"/>
      <c r="AI1" s="831"/>
      <c r="AJ1" s="831"/>
      <c r="AK1" s="831"/>
      <c r="AL1" s="831"/>
      <c r="AM1" s="831"/>
      <c r="AN1" s="831"/>
      <c r="AO1" s="831"/>
      <c r="AP1" s="831"/>
      <c r="AQ1" s="831"/>
      <c r="AR1" s="831"/>
      <c r="AS1" s="831"/>
      <c r="AT1" s="831"/>
      <c r="AU1" s="832"/>
      <c r="AV1" s="6"/>
      <c r="AW1" s="7" t="s">
        <v>7</v>
      </c>
      <c r="AX1" s="8"/>
    </row>
    <row r="2" spans="1:53" ht="24.9" customHeight="1">
      <c r="A2" s="833"/>
      <c r="B2" s="834"/>
      <c r="C2" s="834"/>
      <c r="D2" s="834"/>
      <c r="E2" s="834"/>
      <c r="F2" s="834"/>
      <c r="G2" s="834"/>
      <c r="H2" s="834"/>
      <c r="I2" s="834"/>
      <c r="J2" s="834"/>
      <c r="K2" s="834"/>
      <c r="L2" s="834"/>
      <c r="M2" s="834"/>
      <c r="N2" s="834"/>
      <c r="O2" s="834"/>
      <c r="P2" s="834"/>
      <c r="Q2" s="834"/>
      <c r="R2" s="834"/>
      <c r="S2" s="834"/>
      <c r="T2" s="834"/>
      <c r="U2" s="834"/>
      <c r="V2" s="834"/>
      <c r="W2" s="834"/>
      <c r="X2" s="834"/>
      <c r="Y2" s="834"/>
      <c r="Z2" s="834"/>
      <c r="AA2" s="834"/>
      <c r="AB2" s="834"/>
      <c r="AC2" s="834"/>
      <c r="AD2" s="834"/>
      <c r="AE2" s="834"/>
      <c r="AF2" s="834"/>
      <c r="AG2" s="834"/>
      <c r="AH2" s="834"/>
      <c r="AI2" s="834"/>
      <c r="AJ2" s="834"/>
      <c r="AK2" s="834"/>
      <c r="AL2" s="834"/>
      <c r="AM2" s="834"/>
      <c r="AN2" s="834"/>
      <c r="AO2" s="834"/>
      <c r="AP2" s="834"/>
      <c r="AQ2" s="834"/>
      <c r="AR2" s="834"/>
      <c r="AS2" s="834"/>
      <c r="AT2" s="834"/>
      <c r="AU2" s="10"/>
      <c r="AV2" s="11"/>
      <c r="AW2" s="12" t="s">
        <v>195</v>
      </c>
      <c r="AX2" s="13"/>
    </row>
    <row r="3" spans="1:53" s="67" customFormat="1" ht="36.9" customHeight="1">
      <c r="A3" s="839" t="s">
        <v>114</v>
      </c>
      <c r="B3" s="840"/>
      <c r="C3" s="840"/>
      <c r="D3" s="840"/>
      <c r="E3" s="840"/>
      <c r="F3" s="1068"/>
      <c r="G3" s="1069" t="s">
        <v>115</v>
      </c>
      <c r="H3" s="840"/>
      <c r="I3" s="840"/>
      <c r="J3" s="840"/>
      <c r="K3" s="840"/>
      <c r="L3" s="840"/>
      <c r="M3" s="840"/>
      <c r="N3" s="840"/>
      <c r="O3" s="840"/>
      <c r="P3" s="840"/>
      <c r="Q3" s="840"/>
      <c r="R3" s="840"/>
      <c r="S3" s="840"/>
      <c r="T3" s="840"/>
      <c r="U3" s="840"/>
      <c r="V3" s="1068"/>
      <c r="W3" s="1069" t="s">
        <v>116</v>
      </c>
      <c r="X3" s="840"/>
      <c r="Y3" s="840"/>
      <c r="Z3" s="840"/>
      <c r="AA3" s="840"/>
      <c r="AB3" s="840"/>
      <c r="AC3" s="840"/>
      <c r="AD3" s="840"/>
      <c r="AE3" s="840"/>
      <c r="AF3" s="840"/>
      <c r="AG3" s="840"/>
      <c r="AH3" s="840"/>
      <c r="AI3" s="840"/>
      <c r="AJ3" s="1068"/>
      <c r="AK3" s="839" t="s">
        <v>117</v>
      </c>
      <c r="AL3" s="840"/>
      <c r="AM3" s="840"/>
      <c r="AN3" s="840"/>
      <c r="AO3" s="840"/>
      <c r="AP3" s="840"/>
      <c r="AQ3" s="840"/>
      <c r="AR3" s="840"/>
      <c r="AS3" s="840"/>
      <c r="AT3" s="840"/>
      <c r="AU3" s="840"/>
      <c r="AV3" s="840"/>
      <c r="AW3" s="840"/>
      <c r="AX3" s="1068"/>
    </row>
    <row r="4" spans="1:53" s="69" customFormat="1" ht="15" customHeight="1">
      <c r="A4" s="870" t="s">
        <v>196</v>
      </c>
      <c r="B4" s="871"/>
      <c r="C4" s="871"/>
      <c r="D4" s="871"/>
      <c r="E4" s="871"/>
      <c r="F4" s="871"/>
      <c r="G4" s="871"/>
      <c r="H4" s="871"/>
      <c r="I4" s="871"/>
      <c r="J4" s="871"/>
      <c r="K4" s="871"/>
      <c r="L4" s="871"/>
      <c r="M4" s="871"/>
      <c r="N4" s="871"/>
      <c r="O4" s="871"/>
      <c r="P4" s="871"/>
      <c r="Q4" s="871"/>
      <c r="R4" s="871"/>
      <c r="S4" s="871"/>
      <c r="T4" s="871"/>
      <c r="U4" s="871"/>
      <c r="V4" s="871"/>
      <c r="W4" s="871"/>
      <c r="X4" s="871"/>
      <c r="Y4" s="871"/>
      <c r="Z4" s="871"/>
      <c r="AA4" s="871"/>
      <c r="AB4" s="871"/>
      <c r="AC4" s="871"/>
      <c r="AD4" s="871"/>
      <c r="AE4" s="871"/>
      <c r="AF4" s="871"/>
      <c r="AG4" s="871"/>
      <c r="AH4" s="871"/>
      <c r="AI4" s="871"/>
      <c r="AJ4" s="871"/>
      <c r="AK4" s="871"/>
      <c r="AL4" s="871"/>
      <c r="AM4" s="871"/>
      <c r="AN4" s="871"/>
      <c r="AO4" s="871"/>
      <c r="AP4" s="871"/>
      <c r="AQ4" s="871"/>
      <c r="AR4" s="871"/>
      <c r="AS4" s="871"/>
      <c r="AT4" s="871"/>
      <c r="AU4" s="871"/>
      <c r="AV4" s="871"/>
      <c r="AW4" s="871"/>
      <c r="AX4" s="968"/>
    </row>
    <row r="5" spans="1:53" s="69" customFormat="1" ht="15" customHeight="1">
      <c r="A5" s="73"/>
      <c r="B5" s="178"/>
      <c r="C5" s="18"/>
      <c r="D5" s="18"/>
      <c r="E5" s="18"/>
      <c r="F5" s="72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5"/>
      <c r="W5" s="73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5"/>
      <c r="AI5" s="15"/>
      <c r="AJ5" s="179"/>
      <c r="AK5" s="180" t="s">
        <v>197</v>
      </c>
      <c r="AL5" s="178"/>
      <c r="AM5" s="178"/>
      <c r="AN5" s="178"/>
      <c r="AO5" s="178"/>
      <c r="AP5" s="178"/>
      <c r="AQ5" s="178"/>
      <c r="AR5" s="178"/>
      <c r="AS5" s="181"/>
      <c r="AT5" s="181"/>
      <c r="AU5" s="181"/>
      <c r="AV5" s="181"/>
      <c r="AW5" s="988" t="str" cm="1">
        <f t="array" ref="AW5">IF(OR(AS11:AT14&gt;AU11:AV14),"**Unacceptable**","Acceptable")</f>
        <v>Acceptable</v>
      </c>
      <c r="AX5" s="989"/>
    </row>
    <row r="6" spans="1:53" s="69" customFormat="1" ht="15" customHeight="1">
      <c r="A6" s="182" t="s">
        <v>198</v>
      </c>
      <c r="B6" s="72"/>
      <c r="C6" s="18"/>
      <c r="D6" s="18"/>
      <c r="E6" s="18"/>
      <c r="F6" s="72"/>
      <c r="G6" s="30" t="s">
        <v>199</v>
      </c>
      <c r="H6" s="18"/>
      <c r="I6" s="18"/>
      <c r="J6" s="18"/>
      <c r="K6" s="18"/>
      <c r="L6" s="18"/>
      <c r="M6" s="18"/>
      <c r="N6" s="183" t="s">
        <v>200</v>
      </c>
      <c r="O6" s="18"/>
      <c r="P6" s="18"/>
      <c r="Q6" s="18"/>
      <c r="R6" s="18"/>
      <c r="S6" s="18"/>
      <c r="T6" s="18"/>
      <c r="U6" s="18"/>
      <c r="V6" s="16" t="s">
        <v>201</v>
      </c>
      <c r="W6" s="68" t="s">
        <v>202</v>
      </c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5"/>
      <c r="AI6" s="15"/>
      <c r="AJ6" s="179" t="s">
        <v>201</v>
      </c>
      <c r="AK6" s="991" t="s">
        <v>203</v>
      </c>
      <c r="AL6" s="992"/>
      <c r="AM6" s="991" t="s">
        <v>204</v>
      </c>
      <c r="AN6" s="992"/>
      <c r="AO6" s="991" t="s">
        <v>205</v>
      </c>
      <c r="AP6" s="992"/>
      <c r="AQ6" s="991" t="s">
        <v>206</v>
      </c>
      <c r="AR6" s="992"/>
      <c r="AS6" s="991" t="s">
        <v>207</v>
      </c>
      <c r="AT6" s="992"/>
      <c r="AU6" s="991" t="s">
        <v>208</v>
      </c>
      <c r="AV6" s="992"/>
      <c r="AW6" s="991" t="s">
        <v>209</v>
      </c>
      <c r="AX6" s="992"/>
    </row>
    <row r="7" spans="1:53" s="69" customFormat="1" ht="15" customHeight="1">
      <c r="A7" s="73"/>
      <c r="B7" s="18"/>
      <c r="C7" s="18"/>
      <c r="D7" s="18"/>
      <c r="E7" s="18"/>
      <c r="F7" s="72"/>
      <c r="G7" s="18" t="s">
        <v>83</v>
      </c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5"/>
      <c r="W7" s="184" t="s">
        <v>210</v>
      </c>
      <c r="X7" s="24"/>
      <c r="Y7" s="24"/>
      <c r="Z7" s="24"/>
      <c r="AA7" s="24"/>
      <c r="AB7" s="24"/>
      <c r="AC7" s="24"/>
      <c r="AD7" s="24"/>
      <c r="AE7" s="24"/>
      <c r="AF7" s="24"/>
      <c r="AG7" s="24"/>
      <c r="AH7" s="15" t="s">
        <v>30</v>
      </c>
      <c r="AI7" s="185"/>
      <c r="AJ7" s="21" t="s">
        <v>90</v>
      </c>
      <c r="AK7" s="993"/>
      <c r="AL7" s="994"/>
      <c r="AM7" s="993"/>
      <c r="AN7" s="994"/>
      <c r="AO7" s="993"/>
      <c r="AP7" s="994"/>
      <c r="AQ7" s="993"/>
      <c r="AR7" s="994"/>
      <c r="AS7" s="993"/>
      <c r="AT7" s="994"/>
      <c r="AU7" s="993"/>
      <c r="AV7" s="994"/>
      <c r="AW7" s="993"/>
      <c r="AX7" s="994"/>
    </row>
    <row r="8" spans="1:53" s="69" customFormat="1" ht="15" customHeight="1">
      <c r="A8" s="73"/>
      <c r="B8" s="18"/>
      <c r="C8" s="18"/>
      <c r="D8" s="18"/>
      <c r="E8" s="18"/>
      <c r="F8" s="72"/>
      <c r="G8" s="18" t="s">
        <v>211</v>
      </c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5"/>
      <c r="W8" s="73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5"/>
      <c r="AI8" s="15"/>
      <c r="AJ8" s="21"/>
      <c r="AK8" s="993"/>
      <c r="AL8" s="994"/>
      <c r="AM8" s="993"/>
      <c r="AN8" s="994"/>
      <c r="AO8" s="993"/>
      <c r="AP8" s="994"/>
      <c r="AQ8" s="993"/>
      <c r="AR8" s="994"/>
      <c r="AS8" s="993"/>
      <c r="AT8" s="994"/>
      <c r="AU8" s="993"/>
      <c r="AV8" s="994"/>
      <c r="AW8" s="993"/>
      <c r="AX8" s="994"/>
    </row>
    <row r="9" spans="1:53" s="69" customFormat="1" ht="15" customHeight="1">
      <c r="A9" s="73"/>
      <c r="B9" s="18"/>
      <c r="C9" s="18"/>
      <c r="D9" s="18"/>
      <c r="E9" s="18"/>
      <c r="F9" s="72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5"/>
      <c r="W9" s="73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5"/>
      <c r="AI9" s="15"/>
      <c r="AJ9" s="21"/>
      <c r="AK9" s="993"/>
      <c r="AL9" s="994"/>
      <c r="AM9" s="993"/>
      <c r="AN9" s="994"/>
      <c r="AO9" s="993"/>
      <c r="AP9" s="994"/>
      <c r="AQ9" s="993"/>
      <c r="AR9" s="994"/>
      <c r="AS9" s="993"/>
      <c r="AT9" s="994"/>
      <c r="AU9" s="993"/>
      <c r="AV9" s="994"/>
      <c r="AW9" s="993"/>
      <c r="AX9" s="994"/>
    </row>
    <row r="10" spans="1:53" s="69" customFormat="1" ht="15" customHeight="1">
      <c r="A10" s="73"/>
      <c r="B10" s="18"/>
      <c r="C10" s="18"/>
      <c r="D10" s="18"/>
      <c r="E10" s="18"/>
      <c r="F10" s="72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5"/>
      <c r="W10" s="73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5"/>
      <c r="AI10" s="15"/>
      <c r="AJ10" s="21"/>
      <c r="AK10" s="995"/>
      <c r="AL10" s="996"/>
      <c r="AM10" s="995"/>
      <c r="AN10" s="996"/>
      <c r="AO10" s="995"/>
      <c r="AP10" s="996"/>
      <c r="AQ10" s="995"/>
      <c r="AR10" s="996"/>
      <c r="AS10" s="995"/>
      <c r="AT10" s="996"/>
      <c r="AU10" s="995"/>
      <c r="AV10" s="996"/>
      <c r="AW10" s="995"/>
      <c r="AX10" s="996"/>
    </row>
    <row r="11" spans="1:53" s="69" customFormat="1" ht="15" customHeight="1">
      <c r="A11" s="73"/>
      <c r="B11" s="18"/>
      <c r="C11" s="18"/>
      <c r="D11" s="18"/>
      <c r="E11" s="18"/>
      <c r="F11" s="72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5"/>
      <c r="W11" s="73"/>
      <c r="X11" s="18"/>
      <c r="Y11" s="18"/>
      <c r="Z11" s="18"/>
      <c r="AA11" s="18"/>
      <c r="AB11" s="866"/>
      <c r="AC11" s="866"/>
      <c r="AD11" s="866"/>
      <c r="AE11" s="866"/>
      <c r="AF11" s="18"/>
      <c r="AG11" s="18"/>
      <c r="AH11" s="15"/>
      <c r="AI11" s="15"/>
      <c r="AJ11" s="21"/>
      <c r="AK11" s="1070" t="s">
        <v>212</v>
      </c>
      <c r="AL11" s="1057"/>
      <c r="AM11" s="1071"/>
      <c r="AN11" s="1072"/>
      <c r="AO11" s="1060">
        <v>44.9</v>
      </c>
      <c r="AP11" s="1060"/>
      <c r="AQ11" s="1061">
        <v>100</v>
      </c>
      <c r="AR11" s="1061"/>
      <c r="AS11" s="1073">
        <f>AM11/(AO11*AQ11%)</f>
        <v>0</v>
      </c>
      <c r="AT11" s="1074"/>
      <c r="AU11" s="1054">
        <f>$AC$33</f>
        <v>0</v>
      </c>
      <c r="AV11" s="1054"/>
      <c r="AW11" s="1051" t="e">
        <f>AS11/AU11</f>
        <v>#DIV/0!</v>
      </c>
      <c r="AX11" s="1051"/>
      <c r="AZ11" s="186" t="e">
        <f>ROUND(AW11*100,0)</f>
        <v>#DIV/0!</v>
      </c>
      <c r="BA11" s="187"/>
    </row>
    <row r="12" spans="1:53" s="69" customFormat="1" ht="15" customHeight="1">
      <c r="A12" s="76"/>
      <c r="B12" s="15"/>
      <c r="C12" s="15"/>
      <c r="D12" s="15"/>
      <c r="E12" s="15"/>
      <c r="F12" s="72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5"/>
      <c r="W12" s="73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5"/>
      <c r="AI12" s="15"/>
      <c r="AJ12" s="21"/>
      <c r="AK12" s="1067" t="s">
        <v>213</v>
      </c>
      <c r="AL12" s="1043"/>
      <c r="AM12" s="1045"/>
      <c r="AN12" s="1046"/>
      <c r="AO12" s="1047">
        <v>44.9</v>
      </c>
      <c r="AP12" s="1047"/>
      <c r="AQ12" s="1055">
        <v>100</v>
      </c>
      <c r="AR12" s="1055"/>
      <c r="AS12" s="1056">
        <f>AM12/(AO12*AQ12%)</f>
        <v>0</v>
      </c>
      <c r="AT12" s="1056"/>
      <c r="AU12" s="1052">
        <f>$AC$33</f>
        <v>0</v>
      </c>
      <c r="AV12" s="1052"/>
      <c r="AW12" s="1053" t="e">
        <f>AS12/AU12</f>
        <v>#DIV/0!</v>
      </c>
      <c r="AX12" s="1053"/>
      <c r="AZ12" s="186" t="e">
        <f>ROUND(AW12*100,0)</f>
        <v>#DIV/0!</v>
      </c>
      <c r="BA12" s="187"/>
    </row>
    <row r="13" spans="1:53" s="69" customFormat="1" ht="15" customHeight="1">
      <c r="A13" s="76"/>
      <c r="B13" s="15"/>
      <c r="C13" s="15"/>
      <c r="D13" s="15"/>
      <c r="E13" s="15"/>
      <c r="F13" s="72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065" t="s">
        <v>214</v>
      </c>
      <c r="V13" s="1066"/>
      <c r="W13" s="73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5"/>
      <c r="AI13" s="15"/>
      <c r="AJ13" s="21"/>
      <c r="AK13" s="1067" t="s">
        <v>215</v>
      </c>
      <c r="AL13" s="1043"/>
      <c r="AM13" s="1045"/>
      <c r="AN13" s="1046"/>
      <c r="AO13" s="1047">
        <v>44.9</v>
      </c>
      <c r="AP13" s="1047"/>
      <c r="AQ13" s="1055">
        <v>100</v>
      </c>
      <c r="AR13" s="1055"/>
      <c r="AS13" s="1056">
        <f>AM13/(AO13*AQ13%)</f>
        <v>0</v>
      </c>
      <c r="AT13" s="1056"/>
      <c r="AU13" s="1052">
        <f>$AC$33</f>
        <v>0</v>
      </c>
      <c r="AV13" s="1052"/>
      <c r="AW13" s="1053" t="e">
        <f>AS13/AU13</f>
        <v>#DIV/0!</v>
      </c>
      <c r="AX13" s="1053"/>
      <c r="AZ13" s="186" t="e">
        <f>ROUND(AW13*100,0)</f>
        <v>#DIV/0!</v>
      </c>
      <c r="BA13" s="187"/>
    </row>
    <row r="14" spans="1:53" s="69" customFormat="1" ht="15" customHeight="1">
      <c r="A14" s="76"/>
      <c r="B14" s="15"/>
      <c r="C14" s="15"/>
      <c r="D14" s="15"/>
      <c r="E14" s="15"/>
      <c r="F14" s="72"/>
      <c r="G14" s="18"/>
      <c r="H14" s="18"/>
      <c r="I14" s="32" t="s">
        <v>216</v>
      </c>
      <c r="J14" s="80" t="s">
        <v>217</v>
      </c>
      <c r="L14" s="18"/>
      <c r="M14" s="18"/>
      <c r="N14" s="18"/>
      <c r="O14" s="18"/>
      <c r="P14" s="18"/>
      <c r="Q14" s="1063" t="s">
        <v>218</v>
      </c>
      <c r="R14" s="1063"/>
      <c r="S14" s="969" t="s">
        <v>219</v>
      </c>
      <c r="T14" s="969"/>
      <c r="U14" s="188"/>
      <c r="V14" s="189"/>
      <c r="W14" s="73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5"/>
      <c r="AI14" s="15"/>
      <c r="AJ14" s="21"/>
      <c r="AK14" s="1064" t="s">
        <v>220</v>
      </c>
      <c r="AL14" s="1037"/>
      <c r="AM14" s="1039"/>
      <c r="AN14" s="1040"/>
      <c r="AO14" s="1041">
        <v>44.9</v>
      </c>
      <c r="AP14" s="1041"/>
      <c r="AQ14" s="1048">
        <v>100</v>
      </c>
      <c r="AR14" s="1048"/>
      <c r="AS14" s="1041">
        <f>AM14/(AO14*AQ14%)</f>
        <v>0</v>
      </c>
      <c r="AT14" s="1041"/>
      <c r="AU14" s="1049">
        <f>$AC$33</f>
        <v>0</v>
      </c>
      <c r="AV14" s="1049"/>
      <c r="AW14" s="1050" t="e">
        <f>AS14/AU14</f>
        <v>#DIV/0!</v>
      </c>
      <c r="AX14" s="1050"/>
      <c r="AZ14" s="186" t="e">
        <f>ROUND(AW14*100,0)</f>
        <v>#DIV/0!</v>
      </c>
      <c r="BA14" s="187"/>
    </row>
    <row r="15" spans="1:53" s="69" customFormat="1" ht="15" customHeight="1">
      <c r="A15" s="76"/>
      <c r="B15" s="15"/>
      <c r="C15" s="15"/>
      <c r="D15" s="15"/>
      <c r="E15" s="15"/>
      <c r="F15" s="72"/>
      <c r="G15" s="18"/>
      <c r="H15" s="18"/>
      <c r="I15" s="97"/>
      <c r="J15" s="18"/>
      <c r="K15" s="18"/>
      <c r="L15" s="18"/>
      <c r="M15" s="18"/>
      <c r="N15" s="18"/>
      <c r="O15" s="18"/>
      <c r="P15" s="18"/>
      <c r="Q15" s="18"/>
      <c r="R15" s="80"/>
      <c r="S15" s="18"/>
      <c r="T15" s="18"/>
      <c r="U15" s="18"/>
      <c r="V15" s="15"/>
      <c r="W15" s="73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5"/>
      <c r="AI15" s="15"/>
      <c r="AJ15" s="21"/>
      <c r="AK15" s="190" t="s">
        <v>221</v>
      </c>
      <c r="AL15" s="181"/>
      <c r="AM15" s="178" t="s">
        <v>222</v>
      </c>
      <c r="AN15" s="181"/>
      <c r="AO15" s="181"/>
      <c r="AP15" s="181"/>
      <c r="AQ15" s="181"/>
      <c r="AR15" s="181"/>
      <c r="AS15" s="191"/>
      <c r="AT15" s="191"/>
      <c r="AU15" s="191"/>
      <c r="AV15" s="191"/>
      <c r="AW15" s="192"/>
      <c r="AX15" s="193"/>
    </row>
    <row r="16" spans="1:53" s="69" customFormat="1" ht="15" customHeight="1">
      <c r="A16" s="76"/>
      <c r="B16" s="15"/>
      <c r="C16" s="15"/>
      <c r="D16" s="15"/>
      <c r="E16" s="15"/>
      <c r="F16" s="72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5"/>
      <c r="W16" s="73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21"/>
      <c r="AK16" s="76"/>
      <c r="AL16" s="15"/>
      <c r="AM16" s="18" t="s">
        <v>223</v>
      </c>
      <c r="AN16" s="15"/>
      <c r="AO16" s="15"/>
      <c r="AP16" s="15"/>
      <c r="AQ16" s="15"/>
      <c r="AR16" s="15"/>
      <c r="AS16" s="78"/>
      <c r="AT16" s="78"/>
      <c r="AU16" s="78"/>
      <c r="AV16" s="78"/>
      <c r="AW16" s="194"/>
      <c r="AX16" s="195"/>
    </row>
    <row r="17" spans="1:53" s="69" customFormat="1" ht="15" customHeight="1">
      <c r="A17" s="76"/>
      <c r="B17" s="15"/>
      <c r="C17" s="15"/>
      <c r="D17" s="15"/>
      <c r="E17" s="15"/>
      <c r="F17" s="72"/>
      <c r="G17" s="18"/>
      <c r="H17" s="18"/>
      <c r="I17" s="1062">
        <v>115</v>
      </c>
      <c r="J17" s="1062"/>
      <c r="K17" s="1062"/>
      <c r="L17" s="1062"/>
      <c r="M17" s="1062"/>
      <c r="N17" s="1062"/>
      <c r="O17" s="1062"/>
      <c r="P17" s="1062"/>
      <c r="Q17" s="1062"/>
      <c r="R17" s="1062"/>
      <c r="S17" s="1062"/>
      <c r="T17" s="18"/>
      <c r="U17" s="18"/>
      <c r="V17" s="15"/>
      <c r="W17" s="73"/>
      <c r="X17" s="30"/>
      <c r="Y17" s="18"/>
      <c r="Z17" s="18"/>
      <c r="AA17" s="18"/>
      <c r="AB17" s="18"/>
      <c r="AC17" s="18"/>
      <c r="AD17" s="18"/>
      <c r="AE17" s="18"/>
      <c r="AF17" s="18"/>
      <c r="AG17" s="18"/>
      <c r="AH17" s="15"/>
      <c r="AI17" s="15"/>
      <c r="AJ17" s="21"/>
      <c r="AK17" s="123"/>
      <c r="AX17" s="196"/>
    </row>
    <row r="18" spans="1:53" s="69" customFormat="1" ht="15" customHeight="1">
      <c r="A18" s="76"/>
      <c r="B18" s="15"/>
      <c r="C18" s="15"/>
      <c r="D18" s="15"/>
      <c r="E18" s="15"/>
      <c r="F18" s="72"/>
      <c r="G18" s="18"/>
      <c r="H18" s="18"/>
      <c r="I18" s="18"/>
      <c r="J18" s="18"/>
      <c r="K18" s="18"/>
      <c r="L18" s="18"/>
      <c r="M18" s="18"/>
      <c r="N18" s="32"/>
      <c r="O18" s="18"/>
      <c r="P18" s="18"/>
      <c r="Q18" s="18"/>
      <c r="R18" s="18"/>
      <c r="S18" s="18"/>
      <c r="T18" s="18"/>
      <c r="U18" s="18"/>
      <c r="V18" s="15"/>
      <c r="W18" s="73"/>
      <c r="X18" s="18"/>
      <c r="Y18" s="18"/>
      <c r="Z18" s="18"/>
      <c r="AA18" s="18"/>
      <c r="AB18" s="18"/>
      <c r="AC18" s="15"/>
      <c r="AD18" s="15"/>
      <c r="AE18" s="15"/>
      <c r="AF18" s="18"/>
      <c r="AG18" s="15"/>
      <c r="AH18" s="15"/>
      <c r="AI18" s="15"/>
      <c r="AJ18" s="21"/>
      <c r="AK18" s="197" t="s">
        <v>224</v>
      </c>
      <c r="AL18" s="198"/>
      <c r="AM18" s="198"/>
      <c r="AN18" s="198"/>
      <c r="AO18" s="198"/>
      <c r="AP18" s="198"/>
      <c r="AQ18" s="198"/>
      <c r="AR18" s="198"/>
      <c r="AS18" s="199"/>
      <c r="AT18" s="199"/>
      <c r="AU18" s="199"/>
      <c r="AV18" s="200"/>
      <c r="AW18" s="988" t="str" cm="1">
        <f t="array" ref="AW18">IF(OR(AS24:AT27&gt;AU24:AV27),"**Unacceptable**","Acceptable")</f>
        <v>Acceptable</v>
      </c>
      <c r="AX18" s="989"/>
    </row>
    <row r="19" spans="1:53" s="69" customFormat="1" ht="15" customHeight="1">
      <c r="A19" s="76"/>
      <c r="B19" s="15"/>
      <c r="C19" s="15"/>
      <c r="D19" s="15"/>
      <c r="E19" s="15"/>
      <c r="F19" s="72"/>
      <c r="G19" s="18"/>
      <c r="H19" s="18"/>
      <c r="I19" s="32"/>
      <c r="J19" s="32"/>
      <c r="K19" s="32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5"/>
      <c r="W19" s="73"/>
      <c r="X19" s="18"/>
      <c r="Y19" s="18"/>
      <c r="Z19" s="18"/>
      <c r="AA19" s="18"/>
      <c r="AB19" s="15"/>
      <c r="AC19" s="15"/>
      <c r="AD19" s="15"/>
      <c r="AE19" s="201"/>
      <c r="AF19" s="201"/>
      <c r="AG19" s="15"/>
      <c r="AH19" s="201"/>
      <c r="AI19" s="201"/>
      <c r="AJ19" s="21"/>
      <c r="AK19" s="992" t="s">
        <v>203</v>
      </c>
      <c r="AL19" s="997"/>
      <c r="AM19" s="997" t="s">
        <v>204</v>
      </c>
      <c r="AN19" s="997"/>
      <c r="AO19" s="997" t="s">
        <v>205</v>
      </c>
      <c r="AP19" s="997"/>
      <c r="AQ19" s="997" t="s">
        <v>206</v>
      </c>
      <c r="AR19" s="997"/>
      <c r="AS19" s="997" t="s">
        <v>207</v>
      </c>
      <c r="AT19" s="997"/>
      <c r="AU19" s="997" t="s">
        <v>208</v>
      </c>
      <c r="AV19" s="997"/>
      <c r="AW19" s="997" t="s">
        <v>209</v>
      </c>
      <c r="AX19" s="997"/>
    </row>
    <row r="20" spans="1:53" s="69" customFormat="1" ht="15" customHeight="1">
      <c r="A20" s="76"/>
      <c r="B20" s="15"/>
      <c r="C20" s="15"/>
      <c r="D20" s="15"/>
      <c r="E20" s="15"/>
      <c r="F20" s="72"/>
      <c r="G20" s="18"/>
      <c r="H20" s="18"/>
      <c r="I20" s="202"/>
      <c r="J20" s="203"/>
      <c r="K20" s="202"/>
      <c r="L20" s="203"/>
      <c r="M20" s="18"/>
      <c r="N20" s="18"/>
      <c r="O20" s="97"/>
      <c r="P20" s="18"/>
      <c r="Q20" s="18"/>
      <c r="R20" s="18"/>
      <c r="S20" s="204" t="s">
        <v>225</v>
      </c>
      <c r="T20" s="18"/>
      <c r="U20" s="18"/>
      <c r="V20" s="15"/>
      <c r="W20" s="73"/>
      <c r="X20" s="18"/>
      <c r="Y20" s="18"/>
      <c r="Z20" s="18"/>
      <c r="AA20" s="18"/>
      <c r="AB20" s="15"/>
      <c r="AC20" s="15"/>
      <c r="AD20" s="15"/>
      <c r="AE20" s="201"/>
      <c r="AF20" s="201"/>
      <c r="AG20" s="15"/>
      <c r="AH20" s="201"/>
      <c r="AI20" s="201"/>
      <c r="AJ20" s="21"/>
      <c r="AK20" s="994"/>
      <c r="AL20" s="998"/>
      <c r="AM20" s="998"/>
      <c r="AN20" s="998"/>
      <c r="AO20" s="998"/>
      <c r="AP20" s="998"/>
      <c r="AQ20" s="998"/>
      <c r="AR20" s="998"/>
      <c r="AS20" s="998"/>
      <c r="AT20" s="998"/>
      <c r="AU20" s="998"/>
      <c r="AV20" s="998"/>
      <c r="AW20" s="998"/>
      <c r="AX20" s="998"/>
    </row>
    <row r="21" spans="1:53" s="69" customFormat="1" ht="15" customHeight="1">
      <c r="A21" s="76"/>
      <c r="B21" s="15"/>
      <c r="C21" s="15"/>
      <c r="D21" s="15"/>
      <c r="E21" s="15"/>
      <c r="F21" s="72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93"/>
      <c r="T21" s="18"/>
      <c r="U21" s="18"/>
      <c r="V21" s="15"/>
      <c r="W21" s="73"/>
      <c r="X21" s="18"/>
      <c r="Y21" s="18"/>
      <c r="Z21" s="18"/>
      <c r="AA21" s="18"/>
      <c r="AB21" s="15"/>
      <c r="AC21" s="15"/>
      <c r="AD21" s="15"/>
      <c r="AE21" s="201"/>
      <c r="AF21" s="201"/>
      <c r="AG21" s="15"/>
      <c r="AH21" s="201"/>
      <c r="AI21" s="201"/>
      <c r="AJ21" s="21"/>
      <c r="AK21" s="994"/>
      <c r="AL21" s="998"/>
      <c r="AM21" s="998"/>
      <c r="AN21" s="998"/>
      <c r="AO21" s="998"/>
      <c r="AP21" s="998"/>
      <c r="AQ21" s="998"/>
      <c r="AR21" s="998"/>
      <c r="AS21" s="998"/>
      <c r="AT21" s="998"/>
      <c r="AU21" s="998"/>
      <c r="AV21" s="998"/>
      <c r="AW21" s="998"/>
      <c r="AX21" s="998"/>
    </row>
    <row r="22" spans="1:53" s="69" customFormat="1" ht="15" customHeight="1">
      <c r="A22" s="76"/>
      <c r="B22" s="15"/>
      <c r="C22" s="15"/>
      <c r="D22" s="15"/>
      <c r="E22" s="15"/>
      <c r="F22" s="72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32" t="s">
        <v>226</v>
      </c>
      <c r="T22" s="18"/>
      <c r="U22" s="18"/>
      <c r="V22" s="15"/>
      <c r="W22" s="73"/>
      <c r="X22" s="18"/>
      <c r="Y22" s="18"/>
      <c r="Z22" s="18"/>
      <c r="AA22" s="18"/>
      <c r="AB22" s="15"/>
      <c r="AC22" s="15"/>
      <c r="AD22" s="15"/>
      <c r="AE22" s="201"/>
      <c r="AF22" s="201"/>
      <c r="AG22" s="15"/>
      <c r="AH22" s="201"/>
      <c r="AI22" s="201"/>
      <c r="AJ22" s="21"/>
      <c r="AK22" s="994"/>
      <c r="AL22" s="998"/>
      <c r="AM22" s="998"/>
      <c r="AN22" s="998"/>
      <c r="AO22" s="998"/>
      <c r="AP22" s="998"/>
      <c r="AQ22" s="998"/>
      <c r="AR22" s="998"/>
      <c r="AS22" s="998"/>
      <c r="AT22" s="998"/>
      <c r="AU22" s="998"/>
      <c r="AV22" s="998"/>
      <c r="AW22" s="998"/>
      <c r="AX22" s="998"/>
    </row>
    <row r="23" spans="1:53" s="69" customFormat="1" ht="15" customHeight="1">
      <c r="A23" s="76"/>
      <c r="B23" s="15"/>
      <c r="C23" s="15"/>
      <c r="D23" s="15"/>
      <c r="E23" s="15"/>
      <c r="F23" s="72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93"/>
      <c r="T23" s="18"/>
      <c r="U23" s="18"/>
      <c r="V23" s="15"/>
      <c r="W23" s="73"/>
      <c r="X23" s="18"/>
      <c r="Y23" s="18"/>
      <c r="Z23" s="18"/>
      <c r="AA23" s="18"/>
      <c r="AB23" s="15"/>
      <c r="AC23" s="15"/>
      <c r="AD23" s="15"/>
      <c r="AE23" s="201"/>
      <c r="AF23" s="201"/>
      <c r="AG23" s="15"/>
      <c r="AH23" s="201"/>
      <c r="AI23" s="201"/>
      <c r="AJ23" s="21"/>
      <c r="AK23" s="996"/>
      <c r="AL23" s="999"/>
      <c r="AM23" s="999"/>
      <c r="AN23" s="999"/>
      <c r="AO23" s="999"/>
      <c r="AP23" s="999"/>
      <c r="AQ23" s="999"/>
      <c r="AR23" s="999"/>
      <c r="AS23" s="999"/>
      <c r="AT23" s="999"/>
      <c r="AU23" s="999"/>
      <c r="AV23" s="999"/>
      <c r="AW23" s="999"/>
      <c r="AX23" s="999"/>
    </row>
    <row r="24" spans="1:53" s="69" customFormat="1" ht="15" customHeight="1">
      <c r="A24" s="76"/>
      <c r="B24" s="15"/>
      <c r="C24" s="15"/>
      <c r="D24" s="15"/>
      <c r="E24" s="15"/>
      <c r="F24" s="72"/>
      <c r="G24" s="18"/>
      <c r="H24" s="205"/>
      <c r="I24" s="206">
        <v>7.3</v>
      </c>
      <c r="J24" s="18"/>
      <c r="K24" s="18"/>
      <c r="L24" s="18"/>
      <c r="M24" s="18"/>
      <c r="N24" s="18"/>
      <c r="O24" s="18"/>
      <c r="P24" s="18"/>
      <c r="Q24" s="18"/>
      <c r="R24" s="18"/>
      <c r="S24" s="32" t="s">
        <v>227</v>
      </c>
      <c r="T24" s="18"/>
      <c r="U24" s="18"/>
      <c r="V24" s="15"/>
      <c r="W24" s="73"/>
      <c r="X24" s="18"/>
      <c r="Y24" s="18"/>
      <c r="Z24" s="18"/>
      <c r="AA24" s="18"/>
      <c r="AB24" s="15"/>
      <c r="AC24" s="15"/>
      <c r="AD24" s="15"/>
      <c r="AE24" s="201"/>
      <c r="AF24" s="201"/>
      <c r="AG24" s="15"/>
      <c r="AH24" s="201"/>
      <c r="AI24" s="201"/>
      <c r="AJ24" s="21"/>
      <c r="AK24" s="1057" t="s">
        <v>212</v>
      </c>
      <c r="AL24" s="1058"/>
      <c r="AM24" s="1059"/>
      <c r="AN24" s="1059"/>
      <c r="AO24" s="1060">
        <v>44.9</v>
      </c>
      <c r="AP24" s="1060"/>
      <c r="AQ24" s="1061">
        <v>100</v>
      </c>
      <c r="AR24" s="1061"/>
      <c r="AS24" s="1060">
        <f>AM24/(AO24*AQ24%)</f>
        <v>0</v>
      </c>
      <c r="AT24" s="1060"/>
      <c r="AU24" s="1054">
        <f>$AC$33</f>
        <v>0</v>
      </c>
      <c r="AV24" s="1054"/>
      <c r="AW24" s="1051" t="e">
        <f>AS24/AU24</f>
        <v>#DIV/0!</v>
      </c>
      <c r="AX24" s="1051"/>
      <c r="AZ24" s="186" t="e">
        <f>ROUND(AW24*100,0)</f>
        <v>#DIV/0!</v>
      </c>
      <c r="BA24" s="187"/>
    </row>
    <row r="25" spans="1:53" s="69" customFormat="1" ht="15" customHeight="1">
      <c r="A25" s="76"/>
      <c r="B25" s="15"/>
      <c r="C25" s="15"/>
      <c r="D25" s="15"/>
      <c r="E25" s="15"/>
      <c r="F25" s="72"/>
      <c r="G25" s="18"/>
      <c r="H25" s="15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93"/>
      <c r="T25" s="18"/>
      <c r="U25" s="18"/>
      <c r="V25" s="15"/>
      <c r="W25" s="73"/>
      <c r="X25" s="18" t="s">
        <v>228</v>
      </c>
      <c r="Y25" s="18"/>
      <c r="Z25" s="18"/>
      <c r="AA25" s="18"/>
      <c r="AB25" s="15"/>
      <c r="AC25" s="15"/>
      <c r="AD25" s="15"/>
      <c r="AE25" s="201"/>
      <c r="AF25" s="201"/>
      <c r="AG25" s="15"/>
      <c r="AH25" s="201"/>
      <c r="AI25" s="201"/>
      <c r="AJ25" s="21"/>
      <c r="AK25" s="1043" t="s">
        <v>213</v>
      </c>
      <c r="AL25" s="1044"/>
      <c r="AM25" s="1045"/>
      <c r="AN25" s="1046"/>
      <c r="AO25" s="1047">
        <v>44.9</v>
      </c>
      <c r="AP25" s="1047"/>
      <c r="AQ25" s="1055">
        <v>100</v>
      </c>
      <c r="AR25" s="1055"/>
      <c r="AS25" s="1056">
        <f>AM25/(AO25*AQ25%)</f>
        <v>0</v>
      </c>
      <c r="AT25" s="1056"/>
      <c r="AU25" s="1052">
        <f>$AC$33</f>
        <v>0</v>
      </c>
      <c r="AV25" s="1052"/>
      <c r="AW25" s="1053" t="e">
        <f>AS25/AU25</f>
        <v>#DIV/0!</v>
      </c>
      <c r="AX25" s="1053"/>
      <c r="AZ25" s="186" t="e">
        <f>ROUND(AW25*100,0)</f>
        <v>#DIV/0!</v>
      </c>
      <c r="BA25" s="187"/>
    </row>
    <row r="26" spans="1:53" s="69" customFormat="1" ht="15" customHeight="1">
      <c r="A26" s="76"/>
      <c r="B26" s="15"/>
      <c r="C26" s="15"/>
      <c r="D26" s="15"/>
      <c r="E26" s="15"/>
      <c r="F26" s="72"/>
      <c r="G26" s="18"/>
      <c r="H26" s="15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93"/>
      <c r="T26" s="18"/>
      <c r="U26" s="18"/>
      <c r="V26" s="15"/>
      <c r="W26" s="73"/>
      <c r="X26" s="1042" t="s">
        <v>229</v>
      </c>
      <c r="Y26" s="1042"/>
      <c r="Z26" s="1042"/>
      <c r="AA26" s="1042"/>
      <c r="AB26" s="1042"/>
      <c r="AC26" s="1042"/>
      <c r="AD26" s="1042" t="s">
        <v>230</v>
      </c>
      <c r="AE26" s="1042"/>
      <c r="AF26" s="1042"/>
      <c r="AG26" s="1042" t="s">
        <v>231</v>
      </c>
      <c r="AH26" s="1042"/>
      <c r="AI26" s="1042"/>
      <c r="AJ26" s="21"/>
      <c r="AK26" s="1043" t="s">
        <v>215</v>
      </c>
      <c r="AL26" s="1044"/>
      <c r="AM26" s="1045"/>
      <c r="AN26" s="1046"/>
      <c r="AO26" s="1047">
        <v>44.9</v>
      </c>
      <c r="AP26" s="1047"/>
      <c r="AQ26" s="1055">
        <v>100</v>
      </c>
      <c r="AR26" s="1055"/>
      <c r="AS26" s="1056">
        <f>AM26/(AO26*AQ26%)</f>
        <v>0</v>
      </c>
      <c r="AT26" s="1056"/>
      <c r="AU26" s="1052">
        <f>$AC$33</f>
        <v>0</v>
      </c>
      <c r="AV26" s="1052"/>
      <c r="AW26" s="1053" t="e">
        <f>AS26/AU26</f>
        <v>#DIV/0!</v>
      </c>
      <c r="AX26" s="1053"/>
      <c r="AZ26" s="186" t="e">
        <f>ROUND(AW26*100,0)</f>
        <v>#DIV/0!</v>
      </c>
      <c r="BA26" s="187"/>
    </row>
    <row r="27" spans="1:53" s="69" customFormat="1" ht="15" customHeight="1">
      <c r="A27" s="76"/>
      <c r="B27" s="15"/>
      <c r="C27" s="15"/>
      <c r="D27" s="15"/>
      <c r="E27" s="15"/>
      <c r="F27" s="72"/>
      <c r="G27" s="18"/>
      <c r="H27" s="205"/>
      <c r="I27" s="80"/>
      <c r="J27" s="18"/>
      <c r="K27" s="18"/>
      <c r="L27" s="18"/>
      <c r="M27" s="18"/>
      <c r="N27" s="18"/>
      <c r="O27" s="18"/>
      <c r="P27" s="18"/>
      <c r="Q27" s="18"/>
      <c r="R27" s="93"/>
      <c r="S27" s="32" t="s">
        <v>232</v>
      </c>
      <c r="T27" s="18"/>
      <c r="U27" s="93"/>
      <c r="V27" s="15"/>
      <c r="W27" s="73"/>
      <c r="X27" s="1034" t="s">
        <v>233</v>
      </c>
      <c r="Y27" s="1034"/>
      <c r="Z27" s="1034"/>
      <c r="AA27" s="1034"/>
      <c r="AB27" s="1034"/>
      <c r="AC27" s="1034"/>
      <c r="AD27" s="207">
        <v>1</v>
      </c>
      <c r="AE27" s="1035"/>
      <c r="AF27" s="1036"/>
      <c r="AG27" s="207">
        <v>2</v>
      </c>
      <c r="AH27" s="1035"/>
      <c r="AI27" s="1036"/>
      <c r="AJ27" s="21"/>
      <c r="AK27" s="1037" t="s">
        <v>220</v>
      </c>
      <c r="AL27" s="1038"/>
      <c r="AM27" s="1039"/>
      <c r="AN27" s="1040"/>
      <c r="AO27" s="1041">
        <v>44.9</v>
      </c>
      <c r="AP27" s="1041"/>
      <c r="AQ27" s="1048">
        <v>100</v>
      </c>
      <c r="AR27" s="1048"/>
      <c r="AS27" s="1041">
        <f>AM27/(AO27*AQ27%)</f>
        <v>0</v>
      </c>
      <c r="AT27" s="1041"/>
      <c r="AU27" s="1049">
        <f>$AC$33</f>
        <v>0</v>
      </c>
      <c r="AV27" s="1049"/>
      <c r="AW27" s="1050" t="e">
        <f>AS27/AU27</f>
        <v>#DIV/0!</v>
      </c>
      <c r="AX27" s="1050"/>
      <c r="AZ27" s="186" t="e">
        <f>ROUND(AW27*100,0)</f>
        <v>#DIV/0!</v>
      </c>
      <c r="BA27" s="187"/>
    </row>
    <row r="28" spans="1:53" s="69" customFormat="1" ht="15" customHeight="1">
      <c r="A28" s="76"/>
      <c r="B28" s="15"/>
      <c r="C28" s="15"/>
      <c r="D28" s="15"/>
      <c r="E28" s="15"/>
      <c r="F28" s="72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5"/>
      <c r="W28" s="73"/>
      <c r="X28" s="1031" t="s">
        <v>234</v>
      </c>
      <c r="Y28" s="1032"/>
      <c r="Z28" s="1032"/>
      <c r="AA28" s="1032"/>
      <c r="AB28" s="1032"/>
      <c r="AC28" s="1033"/>
      <c r="AD28" s="208">
        <v>3</v>
      </c>
      <c r="AE28" s="1020"/>
      <c r="AF28" s="1021"/>
      <c r="AG28" s="208">
        <v>4</v>
      </c>
      <c r="AH28" s="1020"/>
      <c r="AI28" s="1021"/>
      <c r="AJ28" s="21"/>
      <c r="AK28" s="190" t="s">
        <v>221</v>
      </c>
      <c r="AL28" s="181"/>
      <c r="AM28" s="178" t="s">
        <v>222</v>
      </c>
      <c r="AN28" s="181"/>
      <c r="AO28" s="181"/>
      <c r="AP28" s="181"/>
      <c r="AQ28" s="181"/>
      <c r="AR28" s="181"/>
      <c r="AS28" s="191"/>
      <c r="AT28" s="191"/>
      <c r="AU28" s="209"/>
      <c r="AV28" s="191"/>
      <c r="AW28" s="192"/>
      <c r="AX28" s="193"/>
    </row>
    <row r="29" spans="1:53" s="69" customFormat="1" ht="15" customHeight="1">
      <c r="A29" s="76"/>
      <c r="B29" s="15"/>
      <c r="C29" s="15"/>
      <c r="D29" s="15"/>
      <c r="E29" s="15"/>
      <c r="F29" s="72"/>
      <c r="G29" s="96" t="s">
        <v>235</v>
      </c>
      <c r="H29" s="18"/>
      <c r="I29" s="18"/>
      <c r="J29" s="16"/>
      <c r="K29" s="16" t="s">
        <v>30</v>
      </c>
      <c r="L29" s="1022">
        <v>44.9</v>
      </c>
      <c r="M29" s="1022"/>
      <c r="N29" s="18" t="s">
        <v>236</v>
      </c>
      <c r="O29" s="32" t="s">
        <v>237</v>
      </c>
      <c r="P29" s="18"/>
      <c r="Q29" s="18"/>
      <c r="R29" s="18"/>
      <c r="S29" s="18"/>
      <c r="T29" s="18"/>
      <c r="U29" s="18"/>
      <c r="V29" s="15"/>
      <c r="W29" s="73"/>
      <c r="X29" s="1023" t="s">
        <v>238</v>
      </c>
      <c r="Y29" s="1024"/>
      <c r="Z29" s="1024"/>
      <c r="AA29" s="1024"/>
      <c r="AB29" s="1024"/>
      <c r="AC29" s="1025"/>
      <c r="AD29" s="210">
        <v>5</v>
      </c>
      <c r="AE29" s="1026"/>
      <c r="AF29" s="1027"/>
      <c r="AG29" s="210">
        <v>6</v>
      </c>
      <c r="AH29" s="1028"/>
      <c r="AI29" s="1029"/>
      <c r="AJ29" s="21"/>
      <c r="AK29" s="76"/>
      <c r="AL29" s="15"/>
      <c r="AM29" s="18" t="s">
        <v>223</v>
      </c>
      <c r="AN29" s="15"/>
      <c r="AO29" s="15"/>
      <c r="AP29" s="15"/>
      <c r="AQ29" s="15"/>
      <c r="AR29" s="15"/>
      <c r="AS29" s="78"/>
      <c r="AT29" s="78"/>
      <c r="AU29" s="78"/>
      <c r="AV29" s="78"/>
      <c r="AW29" s="194"/>
      <c r="AX29" s="195"/>
    </row>
    <row r="30" spans="1:53" s="69" customFormat="1" ht="15" customHeight="1">
      <c r="A30" s="73"/>
      <c r="B30" s="15"/>
      <c r="C30" s="15"/>
      <c r="D30" s="15"/>
      <c r="E30" s="15"/>
      <c r="F30" s="72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21"/>
      <c r="W30" s="73"/>
      <c r="X30" s="18"/>
      <c r="Y30" s="18"/>
      <c r="Z30" s="18"/>
      <c r="AA30" s="18"/>
      <c r="AB30" s="15"/>
      <c r="AC30" s="15"/>
      <c r="AD30" s="15"/>
      <c r="AE30" s="201"/>
      <c r="AF30" s="201"/>
      <c r="AG30" s="15"/>
      <c r="AH30" s="201"/>
      <c r="AI30" s="201"/>
      <c r="AJ30" s="211"/>
      <c r="AK30" s="212"/>
      <c r="AL30" s="213"/>
      <c r="AM30" s="213"/>
      <c r="AN30" s="213"/>
      <c r="AO30" s="213"/>
      <c r="AP30" s="213"/>
      <c r="AQ30" s="213"/>
      <c r="AR30" s="213"/>
      <c r="AS30" s="213"/>
      <c r="AT30" s="213"/>
      <c r="AU30" s="213"/>
      <c r="AV30" s="213"/>
      <c r="AW30" s="213"/>
      <c r="AX30" s="214"/>
    </row>
    <row r="31" spans="1:53" s="69" customFormat="1" ht="15" customHeight="1">
      <c r="A31" s="118"/>
      <c r="B31" s="117"/>
      <c r="C31" s="117"/>
      <c r="D31" s="117"/>
      <c r="E31" s="117"/>
      <c r="F31" s="114"/>
      <c r="G31" s="215"/>
      <c r="H31" s="216"/>
      <c r="I31" s="217"/>
      <c r="J31" s="218"/>
      <c r="K31" s="219"/>
      <c r="L31" s="117"/>
      <c r="M31" s="117"/>
      <c r="N31" s="117"/>
      <c r="O31" s="117"/>
      <c r="P31" s="117"/>
      <c r="Q31" s="117"/>
      <c r="R31" s="117"/>
      <c r="S31" s="117"/>
      <c r="T31" s="117"/>
      <c r="U31" s="117"/>
      <c r="V31" s="122"/>
      <c r="W31" s="115"/>
      <c r="X31" s="220"/>
      <c r="Y31" s="115"/>
      <c r="Z31" s="115"/>
      <c r="AA31" s="115"/>
      <c r="AB31" s="117"/>
      <c r="AC31" s="117"/>
      <c r="AD31" s="117"/>
      <c r="AE31" s="221"/>
      <c r="AF31" s="221"/>
      <c r="AG31" s="117"/>
      <c r="AH31" s="221"/>
      <c r="AI31" s="221"/>
      <c r="AJ31" s="122"/>
      <c r="AK31" s="35"/>
      <c r="AL31" s="36"/>
      <c r="AM31" s="36"/>
      <c r="AN31" s="36"/>
      <c r="AO31" s="36"/>
      <c r="AP31" s="36"/>
      <c r="AQ31" s="36"/>
      <c r="AR31" s="36"/>
      <c r="AS31" s="36"/>
      <c r="AT31" s="36"/>
      <c r="AU31" s="36"/>
      <c r="AV31" s="36"/>
      <c r="AW31" s="36"/>
      <c r="AX31" s="37"/>
    </row>
    <row r="32" spans="1:53" s="69" customFormat="1" ht="15" customHeight="1">
      <c r="A32" s="182" t="s">
        <v>239</v>
      </c>
      <c r="B32" s="15"/>
      <c r="C32" s="15"/>
      <c r="D32" s="15"/>
      <c r="E32" s="15"/>
      <c r="F32" s="72"/>
      <c r="G32" s="222" t="s">
        <v>240</v>
      </c>
      <c r="H32" s="223"/>
      <c r="I32" s="224"/>
      <c r="J32" s="25"/>
      <c r="K32" s="22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68" t="s">
        <v>241</v>
      </c>
      <c r="X32" s="226"/>
      <c r="Y32" s="18"/>
      <c r="Z32" s="18"/>
      <c r="AA32" s="18"/>
      <c r="AB32" s="15"/>
      <c r="AC32" s="15"/>
      <c r="AD32" s="15"/>
      <c r="AE32" s="201"/>
      <c r="AF32" s="201"/>
      <c r="AG32" s="15"/>
      <c r="AH32" s="201"/>
      <c r="AI32" s="201"/>
      <c r="AJ32" s="21"/>
      <c r="AK32" s="35"/>
      <c r="AL32" s="36"/>
      <c r="AM32" s="36"/>
      <c r="AN32" s="36"/>
      <c r="AO32" s="36"/>
      <c r="AP32" s="36"/>
      <c r="AQ32" s="36"/>
      <c r="AR32" s="36"/>
      <c r="AS32" s="36"/>
      <c r="AT32" s="36"/>
      <c r="AU32" s="36"/>
      <c r="AV32" s="36"/>
      <c r="AW32" s="36"/>
      <c r="AX32" s="37"/>
    </row>
    <row r="33" spans="1:53" s="69" customFormat="1" ht="15" customHeight="1">
      <c r="A33" s="76"/>
      <c r="B33" s="15"/>
      <c r="C33" s="15"/>
      <c r="D33" s="15"/>
      <c r="E33" s="15"/>
      <c r="F33" s="72"/>
      <c r="G33" s="227" t="s">
        <v>242</v>
      </c>
      <c r="H33" s="223"/>
      <c r="I33" s="224"/>
      <c r="J33" s="16"/>
      <c r="K33" s="228"/>
      <c r="L33" s="15" t="s">
        <v>30</v>
      </c>
      <c r="M33" s="862">
        <v>150</v>
      </c>
      <c r="N33" s="862"/>
      <c r="O33" s="15" t="s">
        <v>243</v>
      </c>
      <c r="P33" s="15" t="s">
        <v>244</v>
      </c>
      <c r="Q33" s="862">
        <v>15.3</v>
      </c>
      <c r="R33" s="862"/>
      <c r="S33" s="18" t="s">
        <v>245</v>
      </c>
      <c r="T33" s="32"/>
      <c r="U33" s="15"/>
      <c r="V33" s="15"/>
      <c r="W33" s="184" t="s">
        <v>246</v>
      </c>
      <c r="X33" s="226"/>
      <c r="Y33" s="18"/>
      <c r="Z33" s="18"/>
      <c r="AA33" s="18"/>
      <c r="AB33" s="15" t="s">
        <v>30</v>
      </c>
      <c r="AC33" s="229"/>
      <c r="AD33" s="15" t="s">
        <v>245</v>
      </c>
      <c r="AE33" s="93" t="s">
        <v>247</v>
      </c>
      <c r="AF33" s="201"/>
      <c r="AG33" s="15"/>
      <c r="AH33" s="201"/>
      <c r="AI33" s="15"/>
      <c r="AJ33" s="21"/>
      <c r="AK33" s="35"/>
      <c r="AL33" s="36"/>
      <c r="AM33" s="36"/>
      <c r="AN33" s="36"/>
      <c r="AO33" s="36"/>
      <c r="AP33" s="36"/>
      <c r="AQ33" s="36"/>
      <c r="AR33" s="36"/>
      <c r="AS33" s="36"/>
      <c r="AT33" s="36"/>
      <c r="AU33" s="36"/>
      <c r="AV33" s="36"/>
      <c r="AW33" s="36"/>
      <c r="AX33" s="37"/>
    </row>
    <row r="34" spans="1:53" s="69" customFormat="1" ht="15" customHeight="1">
      <c r="A34" s="76"/>
      <c r="B34" s="15"/>
      <c r="C34" s="15"/>
      <c r="D34" s="15"/>
      <c r="E34" s="15"/>
      <c r="F34" s="72"/>
      <c r="G34" s="227" t="s">
        <v>248</v>
      </c>
      <c r="H34" s="230"/>
      <c r="I34" s="17"/>
      <c r="J34" s="16"/>
      <c r="K34" s="33"/>
      <c r="L34" s="15" t="s">
        <v>30</v>
      </c>
      <c r="M34" s="862">
        <v>5000.8</v>
      </c>
      <c r="N34" s="862"/>
      <c r="O34" s="18" t="s">
        <v>249</v>
      </c>
      <c r="P34" s="15" t="s">
        <v>244</v>
      </c>
      <c r="Q34" s="862">
        <f>ROUND(M34/9.81,1)</f>
        <v>509.8</v>
      </c>
      <c r="R34" s="862"/>
      <c r="S34" s="149" t="s">
        <v>250</v>
      </c>
      <c r="T34" s="149"/>
      <c r="U34" s="29"/>
      <c r="V34" s="231"/>
      <c r="W34" s="184" t="s">
        <v>251</v>
      </c>
      <c r="X34" s="18"/>
      <c r="Y34" s="18"/>
      <c r="Z34" s="18"/>
      <c r="AA34" s="18"/>
      <c r="AB34" s="15" t="s">
        <v>30</v>
      </c>
      <c r="AC34" s="93" t="s">
        <v>252</v>
      </c>
      <c r="AD34" s="18"/>
      <c r="AE34" s="18"/>
      <c r="AF34" s="18"/>
      <c r="AG34" s="18"/>
      <c r="AH34" s="15"/>
      <c r="AI34" s="15"/>
      <c r="AJ34" s="21"/>
      <c r="AK34" s="35"/>
      <c r="AL34" s="36"/>
      <c r="AM34" s="36"/>
      <c r="AN34" s="36"/>
      <c r="AO34" s="36"/>
      <c r="AP34" s="36"/>
      <c r="AQ34" s="36"/>
      <c r="AR34" s="36"/>
      <c r="AS34" s="36"/>
      <c r="AT34" s="36"/>
      <c r="AU34" s="36"/>
      <c r="AV34" s="36"/>
      <c r="AW34" s="36"/>
      <c r="AX34" s="37"/>
    </row>
    <row r="35" spans="1:53" s="69" customFormat="1" ht="15" customHeight="1">
      <c r="A35" s="76"/>
      <c r="B35" s="15"/>
      <c r="C35" s="15"/>
      <c r="D35" s="15"/>
      <c r="E35" s="15"/>
      <c r="F35" s="72"/>
      <c r="G35" s="227" t="s">
        <v>253</v>
      </c>
      <c r="H35" s="230"/>
      <c r="I35" s="17"/>
      <c r="J35" s="16"/>
      <c r="K35" s="228"/>
      <c r="L35" s="15" t="s">
        <v>30</v>
      </c>
      <c r="M35" s="862">
        <v>5503.2</v>
      </c>
      <c r="N35" s="862"/>
      <c r="O35" s="18" t="s">
        <v>249</v>
      </c>
      <c r="P35" s="15" t="s">
        <v>244</v>
      </c>
      <c r="Q35" s="862">
        <f>ROUND(M35/9.81,1)</f>
        <v>561</v>
      </c>
      <c r="R35" s="862"/>
      <c r="S35" s="149" t="s">
        <v>250</v>
      </c>
      <c r="T35" s="149"/>
      <c r="U35" s="24"/>
      <c r="V35" s="232"/>
      <c r="W35" s="96"/>
      <c r="X35" s="96"/>
      <c r="Y35" s="96"/>
      <c r="Z35" s="96"/>
      <c r="AA35" s="96"/>
      <c r="AB35" s="96"/>
      <c r="AC35" s="96"/>
      <c r="AD35" s="96"/>
      <c r="AE35" s="18"/>
      <c r="AF35" s="18"/>
      <c r="AG35" s="18"/>
      <c r="AH35" s="18"/>
      <c r="AI35" s="18"/>
      <c r="AJ35" s="21"/>
      <c r="AK35" s="35"/>
      <c r="AL35" s="36"/>
      <c r="AM35" s="36"/>
      <c r="AN35" s="36"/>
      <c r="AO35" s="36"/>
      <c r="AP35" s="36"/>
      <c r="AQ35" s="36"/>
      <c r="AR35" s="36"/>
      <c r="AS35" s="36"/>
      <c r="AT35" s="36"/>
      <c r="AU35" s="36"/>
      <c r="AV35" s="36"/>
      <c r="AW35" s="36"/>
      <c r="AX35" s="37"/>
    </row>
    <row r="36" spans="1:53" s="69" customFormat="1" ht="15" customHeight="1">
      <c r="A36" s="76"/>
      <c r="B36" s="15"/>
      <c r="C36" s="15"/>
      <c r="D36" s="15"/>
      <c r="E36" s="15"/>
      <c r="F36" s="72"/>
      <c r="G36" s="227" t="s">
        <v>254</v>
      </c>
      <c r="H36" s="230"/>
      <c r="I36" s="17"/>
      <c r="J36" s="16"/>
      <c r="K36" s="228"/>
      <c r="L36" s="15" t="s">
        <v>30</v>
      </c>
      <c r="M36" s="862">
        <v>5489.4</v>
      </c>
      <c r="N36" s="862"/>
      <c r="O36" s="18" t="s">
        <v>255</v>
      </c>
      <c r="P36" s="15" t="s">
        <v>244</v>
      </c>
      <c r="Q36" s="862">
        <v>617</v>
      </c>
      <c r="R36" s="862"/>
      <c r="S36" s="233" t="s">
        <v>256</v>
      </c>
      <c r="T36" s="233"/>
      <c r="U36" s="24"/>
      <c r="V36" s="232"/>
      <c r="W36" s="73"/>
      <c r="X36" s="15"/>
      <c r="Y36" s="18"/>
      <c r="Z36" s="18"/>
      <c r="AA36" s="16"/>
      <c r="AB36" s="18"/>
      <c r="AC36" s="18"/>
      <c r="AD36" s="15"/>
      <c r="AE36" s="15"/>
      <c r="AF36" s="15"/>
      <c r="AG36" s="15"/>
      <c r="AH36" s="15"/>
      <c r="AI36" s="15"/>
      <c r="AJ36" s="21"/>
      <c r="AK36" s="35"/>
      <c r="AL36" s="36"/>
      <c r="AM36" s="36"/>
      <c r="AN36" s="36"/>
      <c r="AO36" s="36"/>
      <c r="AP36" s="36"/>
      <c r="AQ36" s="36"/>
      <c r="AR36" s="36"/>
      <c r="AS36" s="36"/>
      <c r="AT36" s="36"/>
      <c r="AU36" s="36"/>
      <c r="AV36" s="36"/>
      <c r="AW36" s="36"/>
      <c r="AX36" s="37"/>
    </row>
    <row r="37" spans="1:53" s="69" customFormat="1" ht="15" customHeight="1">
      <c r="A37" s="76"/>
      <c r="B37" s="15"/>
      <c r="C37" s="15"/>
      <c r="D37" s="15"/>
      <c r="E37" s="15"/>
      <c r="F37" s="72"/>
      <c r="G37" s="227" t="s">
        <v>257</v>
      </c>
      <c r="H37" s="24"/>
      <c r="I37" s="24"/>
      <c r="J37" s="16"/>
      <c r="K37" s="228"/>
      <c r="L37" s="15" t="s">
        <v>30</v>
      </c>
      <c r="M37" s="1030">
        <f>M36*0.9</f>
        <v>4940.46</v>
      </c>
      <c r="N37" s="1030"/>
      <c r="O37" s="18" t="s">
        <v>255</v>
      </c>
      <c r="P37" s="15" t="s">
        <v>244</v>
      </c>
      <c r="Q37" s="862">
        <v>555.4</v>
      </c>
      <c r="R37" s="862"/>
      <c r="S37" s="233" t="s">
        <v>256</v>
      </c>
      <c r="T37" s="233"/>
      <c r="U37" s="234"/>
      <c r="V37" s="235"/>
      <c r="W37" s="18"/>
      <c r="X37" s="18"/>
      <c r="Y37" s="18"/>
      <c r="Z37" s="15"/>
      <c r="AA37" s="16"/>
      <c r="AB37" s="18"/>
      <c r="AC37" s="15"/>
      <c r="AD37" s="96"/>
      <c r="AE37" s="18"/>
      <c r="AF37" s="18"/>
      <c r="AG37" s="18"/>
      <c r="AH37" s="18"/>
      <c r="AI37" s="18"/>
      <c r="AJ37" s="21"/>
      <c r="AK37" s="35"/>
      <c r="AL37" s="36"/>
      <c r="AM37" s="36"/>
      <c r="AN37" s="36"/>
      <c r="AO37" s="36"/>
      <c r="AP37" s="36"/>
      <c r="AQ37" s="36"/>
      <c r="AR37" s="36"/>
      <c r="AS37" s="36"/>
      <c r="AT37" s="36"/>
      <c r="AU37" s="36"/>
      <c r="AV37" s="36"/>
      <c r="AW37" s="36"/>
      <c r="AX37" s="37"/>
    </row>
    <row r="38" spans="1:53" s="69" customFormat="1" ht="15" customHeight="1">
      <c r="A38" s="76"/>
      <c r="B38" s="15"/>
      <c r="C38" s="15"/>
      <c r="D38" s="15"/>
      <c r="E38" s="15"/>
      <c r="F38" s="72"/>
      <c r="G38" s="227" t="s">
        <v>258</v>
      </c>
      <c r="H38" s="24"/>
      <c r="I38" s="24"/>
      <c r="J38" s="16"/>
      <c r="K38" s="228"/>
      <c r="L38" s="15" t="s">
        <v>30</v>
      </c>
      <c r="M38" s="863" t="s">
        <v>259</v>
      </c>
      <c r="N38" s="863"/>
      <c r="O38" s="236" t="s">
        <v>260</v>
      </c>
      <c r="P38" s="32"/>
      <c r="Q38" s="127"/>
      <c r="R38" s="33"/>
      <c r="S38" s="33"/>
      <c r="T38" s="234"/>
      <c r="U38" s="234"/>
      <c r="V38" s="235"/>
      <c r="W38" s="18"/>
      <c r="X38" s="15"/>
      <c r="Y38" s="18"/>
      <c r="Z38" s="18"/>
      <c r="AA38" s="16"/>
      <c r="AB38" s="18"/>
      <c r="AC38" s="18"/>
      <c r="AD38" s="18"/>
      <c r="AE38" s="18"/>
      <c r="AF38" s="18"/>
      <c r="AG38" s="15"/>
      <c r="AH38" s="16"/>
      <c r="AI38" s="18"/>
      <c r="AJ38" s="21"/>
      <c r="AK38" s="35"/>
      <c r="AL38" s="36"/>
      <c r="AM38" s="36"/>
      <c r="AN38" s="36"/>
      <c r="AO38" s="36"/>
      <c r="AP38" s="36"/>
      <c r="AQ38" s="36"/>
      <c r="AR38" s="36"/>
      <c r="AS38" s="36"/>
      <c r="AT38" s="36"/>
      <c r="AU38" s="36"/>
      <c r="AV38" s="36"/>
      <c r="AW38" s="36"/>
      <c r="AX38" s="37"/>
    </row>
    <row r="39" spans="1:53" s="69" customFormat="1" ht="15" customHeight="1">
      <c r="A39" s="73"/>
      <c r="B39" s="15"/>
      <c r="C39" s="15"/>
      <c r="D39" s="15"/>
      <c r="E39" s="15"/>
      <c r="F39" s="72"/>
      <c r="G39" s="227"/>
      <c r="H39" s="228"/>
      <c r="I39" s="237"/>
      <c r="J39" s="16"/>
      <c r="K39" s="238"/>
      <c r="L39" s="16"/>
      <c r="M39" s="981"/>
      <c r="N39" s="981"/>
      <c r="O39" s="32"/>
      <c r="P39" s="233"/>
      <c r="Q39" s="238"/>
      <c r="R39" s="238"/>
      <c r="S39" s="238"/>
      <c r="T39" s="234"/>
      <c r="U39" s="234"/>
      <c r="V39" s="235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18"/>
      <c r="AI39" s="18"/>
      <c r="AJ39" s="21"/>
      <c r="AK39" s="143"/>
      <c r="AL39" s="28"/>
      <c r="AM39" s="40"/>
      <c r="AN39" s="239"/>
      <c r="AO39" s="240"/>
      <c r="AP39" s="240"/>
      <c r="AQ39" s="240"/>
      <c r="AR39" s="240"/>
      <c r="AS39" s="240"/>
      <c r="AT39" s="240"/>
      <c r="AU39" s="240"/>
      <c r="AV39" s="240"/>
      <c r="AW39" s="241"/>
      <c r="AX39" s="242"/>
    </row>
    <row r="40" spans="1:53" s="69" customFormat="1" ht="15" customHeight="1">
      <c r="A40" s="118"/>
      <c r="B40" s="117"/>
      <c r="C40" s="117"/>
      <c r="D40" s="117"/>
      <c r="E40" s="117"/>
      <c r="F40" s="114"/>
      <c r="G40" s="243"/>
      <c r="H40" s="244"/>
      <c r="I40" s="245"/>
      <c r="J40" s="245"/>
      <c r="K40" s="246"/>
      <c r="L40" s="119"/>
      <c r="M40" s="1015"/>
      <c r="N40" s="1015"/>
      <c r="O40" s="247"/>
      <c r="P40" s="115"/>
      <c r="Q40" s="248"/>
      <c r="R40" s="248"/>
      <c r="S40" s="248"/>
      <c r="T40" s="246"/>
      <c r="U40" s="246"/>
      <c r="V40" s="249"/>
      <c r="W40" s="250" t="s">
        <v>261</v>
      </c>
      <c r="X40" s="251"/>
      <c r="Y40" s="252"/>
      <c r="Z40" s="252"/>
      <c r="AA40" s="253"/>
      <c r="AB40" s="252"/>
      <c r="AC40" s="252"/>
      <c r="AD40" s="252"/>
      <c r="AE40" s="252"/>
      <c r="AF40" s="252"/>
      <c r="AG40" s="252"/>
      <c r="AH40" s="252"/>
      <c r="AI40" s="252"/>
      <c r="AJ40" s="254"/>
      <c r="AK40" s="255"/>
      <c r="AL40" s="256"/>
      <c r="AM40" s="257"/>
      <c r="AN40" s="258"/>
      <c r="AO40" s="259"/>
      <c r="AP40" s="259"/>
      <c r="AQ40" s="259"/>
      <c r="AR40" s="259"/>
      <c r="AS40" s="259"/>
      <c r="AT40" s="259"/>
      <c r="AU40" s="259"/>
      <c r="AV40" s="259"/>
      <c r="AW40" s="260"/>
      <c r="AX40" s="261"/>
    </row>
    <row r="41" spans="1:53" s="69" customFormat="1" ht="15" customHeight="1">
      <c r="A41" s="182" t="s">
        <v>262</v>
      </c>
      <c r="B41" s="15"/>
      <c r="C41" s="15"/>
      <c r="D41" s="15"/>
      <c r="E41" s="15"/>
      <c r="F41" s="72"/>
      <c r="G41" s="222" t="s">
        <v>263</v>
      </c>
      <c r="H41" s="228"/>
      <c r="I41" s="237"/>
      <c r="J41" s="237"/>
      <c r="K41" s="238"/>
      <c r="L41" s="16"/>
      <c r="M41" s="1000"/>
      <c r="N41" s="1000"/>
      <c r="O41" s="18"/>
      <c r="P41" s="228"/>
      <c r="Q41" s="228"/>
      <c r="R41" s="228"/>
      <c r="S41" s="228"/>
      <c r="T41" s="18"/>
      <c r="U41" s="234"/>
      <c r="V41" s="235"/>
      <c r="W41" s="184" t="s">
        <v>264</v>
      </c>
      <c r="X41" s="96"/>
      <c r="Y41" s="18"/>
      <c r="Z41" s="18"/>
      <c r="AA41" s="18" t="str">
        <f>AS46&amp;", "&amp;BA46&amp;"%"</f>
        <v>, 0%</v>
      </c>
      <c r="AC41" s="183" t="s">
        <v>30</v>
      </c>
      <c r="AD41" s="93" t="s">
        <v>265</v>
      </c>
      <c r="AE41" s="18"/>
      <c r="AF41" s="18"/>
      <c r="AG41" s="15"/>
      <c r="AH41" s="16"/>
      <c r="AI41" s="18"/>
      <c r="AJ41" s="15"/>
      <c r="AK41" s="262" t="s">
        <v>266</v>
      </c>
      <c r="AL41" s="199"/>
      <c r="AM41" s="263"/>
      <c r="AN41" s="264"/>
      <c r="AO41" s="265"/>
      <c r="AP41" s="265"/>
      <c r="AQ41" s="265"/>
      <c r="AR41" s="265"/>
      <c r="AS41" s="265"/>
      <c r="AT41" s="265"/>
      <c r="AU41" s="265"/>
      <c r="AV41" s="266"/>
      <c r="AW41" s="988" t="str">
        <f>IF(AS46&gt;AU46,"**Unacceptable**","Acceptable")</f>
        <v>Acceptable</v>
      </c>
      <c r="AX41" s="989"/>
    </row>
    <row r="42" spans="1:53" s="69" customFormat="1" ht="15" customHeight="1">
      <c r="A42" s="73"/>
      <c r="B42" s="15"/>
      <c r="C42" s="15"/>
      <c r="D42" s="15"/>
      <c r="E42" s="15"/>
      <c r="F42" s="72"/>
      <c r="G42" s="267"/>
      <c r="H42" s="228"/>
      <c r="I42" s="237"/>
      <c r="J42" s="237"/>
      <c r="K42" s="238"/>
      <c r="L42" s="16"/>
      <c r="M42" s="990"/>
      <c r="N42" s="990"/>
      <c r="O42" s="233"/>
      <c r="P42" s="18"/>
      <c r="Q42" s="25"/>
      <c r="R42" s="16"/>
      <c r="S42" s="268"/>
      <c r="T42" s="18"/>
      <c r="U42" s="234"/>
      <c r="V42" s="235"/>
      <c r="W42" s="96" t="s">
        <v>267</v>
      </c>
      <c r="AF42" s="18"/>
      <c r="AG42" s="18"/>
      <c r="AH42" s="18"/>
      <c r="AI42" s="18"/>
      <c r="AJ42" s="15"/>
      <c r="AK42" s="991" t="s">
        <v>268</v>
      </c>
      <c r="AL42" s="992"/>
      <c r="AM42" s="997" t="s">
        <v>269</v>
      </c>
      <c r="AN42" s="997" t="s">
        <v>270</v>
      </c>
      <c r="AO42" s="997" t="s">
        <v>271</v>
      </c>
      <c r="AP42" s="997" t="s">
        <v>272</v>
      </c>
      <c r="AQ42" s="997" t="s">
        <v>273</v>
      </c>
      <c r="AR42" s="997" t="s">
        <v>274</v>
      </c>
      <c r="AS42" s="991" t="s">
        <v>275</v>
      </c>
      <c r="AT42" s="992"/>
      <c r="AU42" s="991" t="s">
        <v>276</v>
      </c>
      <c r="AV42" s="992"/>
      <c r="AW42" s="991" t="s">
        <v>209</v>
      </c>
      <c r="AX42" s="992"/>
    </row>
    <row r="43" spans="1:53" s="69" customFormat="1" ht="15" customHeight="1">
      <c r="A43" s="73"/>
      <c r="B43" s="18"/>
      <c r="C43" s="18"/>
      <c r="D43" s="18"/>
      <c r="E43" s="18"/>
      <c r="F43" s="72"/>
      <c r="G43" s="267"/>
      <c r="H43" s="1001" t="s">
        <v>277</v>
      </c>
      <c r="I43" s="1002"/>
      <c r="J43" s="1002"/>
      <c r="K43" s="1002"/>
      <c r="L43" s="1002"/>
      <c r="M43" s="1003"/>
      <c r="N43" s="1001" t="s">
        <v>229</v>
      </c>
      <c r="O43" s="1002"/>
      <c r="P43" s="1002"/>
      <c r="Q43" s="1002"/>
      <c r="R43" s="1002"/>
      <c r="S43" s="1003"/>
      <c r="T43" s="234"/>
      <c r="U43" s="234"/>
      <c r="V43" s="235"/>
      <c r="W43" s="18" t="s">
        <v>278</v>
      </c>
      <c r="X43" s="97"/>
      <c r="Y43" s="15"/>
      <c r="Z43" s="15" t="s">
        <v>30</v>
      </c>
      <c r="AA43" s="1006" t="s">
        <v>279</v>
      </c>
      <c r="AB43" s="1006"/>
      <c r="AC43" s="1006"/>
      <c r="AD43" s="1006"/>
      <c r="AE43" s="1006"/>
      <c r="AF43" s="1006"/>
      <c r="AG43" s="18"/>
      <c r="AH43" s="18"/>
      <c r="AI43" s="18"/>
      <c r="AJ43" s="16" t="s">
        <v>201</v>
      </c>
      <c r="AK43" s="993"/>
      <c r="AL43" s="994"/>
      <c r="AM43" s="998"/>
      <c r="AN43" s="998"/>
      <c r="AO43" s="998"/>
      <c r="AP43" s="998"/>
      <c r="AQ43" s="998"/>
      <c r="AR43" s="998"/>
      <c r="AS43" s="993"/>
      <c r="AT43" s="994"/>
      <c r="AU43" s="993"/>
      <c r="AV43" s="994"/>
      <c r="AW43" s="993"/>
      <c r="AX43" s="994"/>
    </row>
    <row r="44" spans="1:53" s="69" customFormat="1" ht="15" customHeight="1">
      <c r="A44" s="73"/>
      <c r="B44" s="18"/>
      <c r="C44" s="18"/>
      <c r="D44" s="18"/>
      <c r="E44" s="18"/>
      <c r="F44" s="72"/>
      <c r="G44" s="269"/>
      <c r="H44" s="1007" t="s">
        <v>280</v>
      </c>
      <c r="I44" s="1008"/>
      <c r="J44" s="1008"/>
      <c r="K44" s="1008"/>
      <c r="L44" s="1008"/>
      <c r="M44" s="1009"/>
      <c r="N44" s="1010">
        <v>130000</v>
      </c>
      <c r="O44" s="1011"/>
      <c r="P44" s="1010">
        <v>165000</v>
      </c>
      <c r="Q44" s="1011"/>
      <c r="R44" s="1010" t="s">
        <v>281</v>
      </c>
      <c r="S44" s="1011"/>
      <c r="T44" s="234"/>
      <c r="U44" s="234"/>
      <c r="V44" s="235"/>
      <c r="W44" s="1012"/>
      <c r="X44" s="1013"/>
      <c r="Y44" s="1013"/>
      <c r="Z44" s="1013"/>
      <c r="AA44" s="1013"/>
      <c r="AB44" s="1013"/>
      <c r="AC44" s="1013"/>
      <c r="AD44" s="1013"/>
      <c r="AE44" s="1013"/>
      <c r="AF44" s="1013"/>
      <c r="AG44" s="1013"/>
      <c r="AH44" s="1013"/>
      <c r="AI44" s="1013"/>
      <c r="AJ44" s="1014"/>
      <c r="AK44" s="993"/>
      <c r="AL44" s="994"/>
      <c r="AM44" s="998"/>
      <c r="AN44" s="998"/>
      <c r="AO44" s="998"/>
      <c r="AP44" s="998"/>
      <c r="AQ44" s="998"/>
      <c r="AR44" s="998"/>
      <c r="AS44" s="993"/>
      <c r="AT44" s="994"/>
      <c r="AU44" s="993"/>
      <c r="AV44" s="994"/>
      <c r="AW44" s="993"/>
      <c r="AX44" s="994"/>
    </row>
    <row r="45" spans="1:53" s="69" customFormat="1" ht="15" customHeight="1">
      <c r="A45" s="73"/>
      <c r="B45" s="15"/>
      <c r="C45" s="15"/>
      <c r="D45" s="15"/>
      <c r="E45" s="15"/>
      <c r="F45" s="72"/>
      <c r="G45" s="271"/>
      <c r="H45" s="978" t="s">
        <v>282</v>
      </c>
      <c r="I45" s="979"/>
      <c r="J45" s="979"/>
      <c r="K45" s="979"/>
      <c r="L45" s="979"/>
      <c r="M45" s="980"/>
      <c r="N45" s="1004" t="s">
        <v>283</v>
      </c>
      <c r="O45" s="1005"/>
      <c r="P45" s="1004" t="s">
        <v>283</v>
      </c>
      <c r="Q45" s="1005"/>
      <c r="R45" s="1004" t="s">
        <v>284</v>
      </c>
      <c r="S45" s="1005"/>
      <c r="T45" s="234"/>
      <c r="U45" s="234"/>
      <c r="V45" s="235"/>
      <c r="W45" s="1012"/>
      <c r="X45" s="1013"/>
      <c r="Y45" s="1013"/>
      <c r="Z45" s="1013"/>
      <c r="AA45" s="1013"/>
      <c r="AB45" s="1013"/>
      <c r="AC45" s="1013"/>
      <c r="AD45" s="1013"/>
      <c r="AE45" s="1013"/>
      <c r="AF45" s="1013"/>
      <c r="AG45" s="1013"/>
      <c r="AH45" s="1013"/>
      <c r="AI45" s="1013"/>
      <c r="AJ45" s="1014"/>
      <c r="AK45" s="995"/>
      <c r="AL45" s="996"/>
      <c r="AM45" s="999"/>
      <c r="AN45" s="999"/>
      <c r="AO45" s="999"/>
      <c r="AP45" s="999"/>
      <c r="AQ45" s="999"/>
      <c r="AR45" s="999"/>
      <c r="AS45" s="995"/>
      <c r="AT45" s="996"/>
      <c r="AU45" s="995"/>
      <c r="AV45" s="996"/>
      <c r="AW45" s="995"/>
      <c r="AX45" s="996"/>
    </row>
    <row r="46" spans="1:53" s="69" customFormat="1" ht="15" customHeight="1">
      <c r="A46" s="73"/>
      <c r="B46" s="15"/>
      <c r="C46" s="15"/>
      <c r="D46" s="15"/>
      <c r="E46" s="15"/>
      <c r="F46" s="72"/>
      <c r="G46" s="269"/>
      <c r="H46" s="978" t="s">
        <v>285</v>
      </c>
      <c r="I46" s="979"/>
      <c r="J46" s="979"/>
      <c r="K46" s="979"/>
      <c r="L46" s="979"/>
      <c r="M46" s="980"/>
      <c r="N46" s="1018">
        <v>96262</v>
      </c>
      <c r="O46" s="1019"/>
      <c r="P46" s="1018">
        <v>115000</v>
      </c>
      <c r="Q46" s="1019"/>
      <c r="R46" s="1004">
        <v>178193</v>
      </c>
      <c r="S46" s="1005"/>
      <c r="T46" s="234"/>
      <c r="U46" s="234"/>
      <c r="V46" s="235"/>
      <c r="W46" s="1012"/>
      <c r="X46" s="1013"/>
      <c r="Y46" s="1013"/>
      <c r="Z46" s="1013"/>
      <c r="AA46" s="1013"/>
      <c r="AB46" s="1013"/>
      <c r="AC46" s="1013"/>
      <c r="AD46" s="1013"/>
      <c r="AE46" s="1013"/>
      <c r="AF46" s="1013"/>
      <c r="AG46" s="1013"/>
      <c r="AH46" s="1013"/>
      <c r="AI46" s="1013"/>
      <c r="AJ46" s="1014"/>
      <c r="AK46" s="970">
        <f>'page 1'!AD36</f>
        <v>0</v>
      </c>
      <c r="AL46" s="971"/>
      <c r="AM46" s="272">
        <v>0.1</v>
      </c>
      <c r="AN46" s="273">
        <v>6</v>
      </c>
      <c r="AO46" s="274">
        <v>1.75</v>
      </c>
      <c r="AP46" s="274">
        <v>0.73599999999999999</v>
      </c>
      <c r="AQ46" s="275">
        <v>1</v>
      </c>
      <c r="AR46" s="274">
        <v>1</v>
      </c>
      <c r="AS46" s="972"/>
      <c r="AT46" s="973"/>
      <c r="AU46" s="974">
        <v>555.4</v>
      </c>
      <c r="AV46" s="975"/>
      <c r="AW46" s="976">
        <f>(AS46/AU46)*100</f>
        <v>0</v>
      </c>
      <c r="AX46" s="977"/>
      <c r="AZ46" s="276">
        <f>AS46</f>
        <v>0</v>
      </c>
      <c r="BA46" s="277">
        <f>ROUND(AW46,2)</f>
        <v>0</v>
      </c>
    </row>
    <row r="47" spans="1:53" s="69" customFormat="1" ht="15" customHeight="1">
      <c r="A47" s="73"/>
      <c r="B47" s="18"/>
      <c r="C47" s="18"/>
      <c r="D47" s="18"/>
      <c r="E47" s="18"/>
      <c r="F47" s="72"/>
      <c r="G47" s="269"/>
      <c r="H47" s="978" t="s">
        <v>286</v>
      </c>
      <c r="I47" s="979"/>
      <c r="J47" s="979"/>
      <c r="K47" s="979"/>
      <c r="L47" s="979"/>
      <c r="M47" s="980"/>
      <c r="N47" s="963">
        <v>0.15</v>
      </c>
      <c r="O47" s="964"/>
      <c r="P47" s="963">
        <v>0.15</v>
      </c>
      <c r="Q47" s="964"/>
      <c r="R47" s="963">
        <v>0.15</v>
      </c>
      <c r="S47" s="964"/>
      <c r="T47" s="234"/>
      <c r="U47" s="234"/>
      <c r="V47" s="235"/>
      <c r="W47" s="1012"/>
      <c r="X47" s="1013"/>
      <c r="Y47" s="1013"/>
      <c r="Z47" s="1013"/>
      <c r="AA47" s="1013"/>
      <c r="AB47" s="1013"/>
      <c r="AC47" s="1013"/>
      <c r="AD47" s="1013"/>
      <c r="AE47" s="1013"/>
      <c r="AF47" s="1013"/>
      <c r="AG47" s="1013"/>
      <c r="AH47" s="1013"/>
      <c r="AI47" s="1013"/>
      <c r="AJ47" s="1014"/>
      <c r="AK47" s="278"/>
      <c r="AL47" s="279"/>
      <c r="AM47" s="280"/>
      <c r="AN47" s="279"/>
      <c r="AO47" s="279"/>
      <c r="AP47" s="279"/>
      <c r="AQ47" s="279"/>
      <c r="AR47" s="279"/>
      <c r="AS47" s="279"/>
      <c r="AT47" s="279"/>
      <c r="AU47" s="279"/>
      <c r="AV47" s="279"/>
      <c r="AW47" s="279"/>
      <c r="AX47" s="281"/>
    </row>
    <row r="48" spans="1:53" s="69" customFormat="1" ht="15" customHeight="1">
      <c r="A48" s="73"/>
      <c r="B48" s="18"/>
      <c r="C48" s="18"/>
      <c r="D48" s="18"/>
      <c r="E48" s="18"/>
      <c r="F48" s="72"/>
      <c r="G48" s="269"/>
      <c r="H48" s="982" t="s">
        <v>287</v>
      </c>
      <c r="I48" s="983"/>
      <c r="J48" s="983"/>
      <c r="K48" s="983"/>
      <c r="L48" s="983"/>
      <c r="M48" s="984"/>
      <c r="N48" s="1016">
        <v>7</v>
      </c>
      <c r="O48" s="1017"/>
      <c r="P48" s="1016">
        <v>7</v>
      </c>
      <c r="Q48" s="1017"/>
      <c r="R48" s="1016">
        <v>7</v>
      </c>
      <c r="S48" s="1017"/>
      <c r="T48" s="234"/>
      <c r="U48" s="234"/>
      <c r="V48" s="235"/>
      <c r="W48" s="1012"/>
      <c r="X48" s="1013"/>
      <c r="Y48" s="1013"/>
      <c r="Z48" s="1013"/>
      <c r="AA48" s="1013"/>
      <c r="AB48" s="1013"/>
      <c r="AC48" s="1013"/>
      <c r="AD48" s="1013"/>
      <c r="AE48" s="1013"/>
      <c r="AF48" s="1013"/>
      <c r="AG48" s="1013"/>
      <c r="AH48" s="1013"/>
      <c r="AI48" s="1013"/>
      <c r="AJ48" s="1014"/>
      <c r="AK48" s="73" t="s">
        <v>221</v>
      </c>
      <c r="AL48" s="282"/>
      <c r="AM48" s="18" t="s">
        <v>288</v>
      </c>
      <c r="AN48" s="282"/>
      <c r="AO48" s="282"/>
      <c r="AP48" s="282"/>
      <c r="AQ48" s="282"/>
      <c r="AR48" s="282"/>
      <c r="AS48" s="282"/>
      <c r="AT48" s="282"/>
      <c r="AU48" s="282"/>
      <c r="AV48" s="282"/>
      <c r="AW48" s="282"/>
      <c r="AX48" s="283"/>
    </row>
    <row r="49" spans="1:50" s="69" customFormat="1" ht="15" customHeight="1">
      <c r="A49" s="73"/>
      <c r="B49" s="18"/>
      <c r="C49" s="18"/>
      <c r="D49" s="18"/>
      <c r="E49" s="18"/>
      <c r="F49" s="72"/>
      <c r="G49" s="269"/>
      <c r="H49" s="982" t="s">
        <v>289</v>
      </c>
      <c r="I49" s="983"/>
      <c r="J49" s="983"/>
      <c r="K49" s="983"/>
      <c r="L49" s="983"/>
      <c r="M49" s="984"/>
      <c r="N49" s="966">
        <v>2591</v>
      </c>
      <c r="O49" s="967"/>
      <c r="P49" s="966">
        <v>2592</v>
      </c>
      <c r="Q49" s="967"/>
      <c r="R49" s="966">
        <v>2593</v>
      </c>
      <c r="S49" s="967"/>
      <c r="T49" s="234"/>
      <c r="U49" s="234"/>
      <c r="V49" s="235"/>
      <c r="W49" s="1012"/>
      <c r="X49" s="1013"/>
      <c r="Y49" s="1013"/>
      <c r="Z49" s="1013"/>
      <c r="AA49" s="1013"/>
      <c r="AB49" s="1013"/>
      <c r="AC49" s="1013"/>
      <c r="AD49" s="1013"/>
      <c r="AE49" s="1013"/>
      <c r="AF49" s="1013"/>
      <c r="AG49" s="1013"/>
      <c r="AH49" s="1013"/>
      <c r="AI49" s="1013"/>
      <c r="AJ49" s="1014"/>
      <c r="AK49" s="284"/>
      <c r="AL49" s="282"/>
      <c r="AM49" s="285" t="s">
        <v>290</v>
      </c>
      <c r="AN49" s="282"/>
      <c r="AO49" s="282"/>
      <c r="AP49" s="282"/>
      <c r="AQ49" s="282"/>
      <c r="AR49" s="282"/>
      <c r="AS49" s="282"/>
      <c r="AT49" s="282"/>
      <c r="AU49" s="282"/>
      <c r="AV49" s="282"/>
      <c r="AW49" s="282"/>
      <c r="AX49" s="283"/>
    </row>
    <row r="50" spans="1:50" s="69" customFormat="1" ht="15" customHeight="1">
      <c r="A50" s="76"/>
      <c r="B50" s="15"/>
      <c r="C50" s="15"/>
      <c r="D50" s="15"/>
      <c r="E50" s="15"/>
      <c r="F50" s="72"/>
      <c r="G50" s="269"/>
      <c r="H50" s="965" t="s">
        <v>291</v>
      </c>
      <c r="I50" s="965"/>
      <c r="J50" s="965"/>
      <c r="K50" s="965"/>
      <c r="L50" s="965"/>
      <c r="M50" s="965"/>
      <c r="N50" s="966">
        <f>N49/9.81</f>
        <v>264.11824668705401</v>
      </c>
      <c r="O50" s="967"/>
      <c r="P50" s="966">
        <f>P49/9.81</f>
        <v>264.22018348623851</v>
      </c>
      <c r="Q50" s="967"/>
      <c r="R50" s="966">
        <f>R49/9.81</f>
        <v>264.32212028542301</v>
      </c>
      <c r="S50" s="967"/>
      <c r="T50" s="228"/>
      <c r="U50" s="228"/>
      <c r="V50" s="286"/>
      <c r="W50" s="1012"/>
      <c r="X50" s="1013"/>
      <c r="Y50" s="1013"/>
      <c r="Z50" s="1013"/>
      <c r="AA50" s="1013"/>
      <c r="AB50" s="1013"/>
      <c r="AC50" s="1013"/>
      <c r="AD50" s="1013"/>
      <c r="AE50" s="1013"/>
      <c r="AF50" s="1013"/>
      <c r="AG50" s="1013"/>
      <c r="AH50" s="1013"/>
      <c r="AI50" s="1013"/>
      <c r="AJ50" s="1014"/>
      <c r="AK50" s="287"/>
      <c r="AL50" s="236"/>
      <c r="AM50" s="288"/>
      <c r="AN50" s="289"/>
      <c r="AO50" s="290"/>
      <c r="AP50" s="290"/>
      <c r="AQ50" s="290"/>
      <c r="AR50" s="290"/>
      <c r="AS50" s="981"/>
      <c r="AT50" s="981"/>
      <c r="AU50" s="981"/>
      <c r="AV50" s="981"/>
      <c r="AW50" s="981"/>
      <c r="AX50" s="987"/>
    </row>
    <row r="51" spans="1:50" s="69" customFormat="1" ht="15" customHeight="1">
      <c r="A51" s="73"/>
      <c r="B51" s="15"/>
      <c r="C51" s="15"/>
      <c r="D51" s="15"/>
      <c r="E51" s="15"/>
      <c r="F51" s="72"/>
      <c r="G51" s="18"/>
      <c r="H51" s="965" t="s">
        <v>292</v>
      </c>
      <c r="I51" s="965"/>
      <c r="J51" s="965"/>
      <c r="K51" s="965"/>
      <c r="L51" s="965"/>
      <c r="M51" s="965"/>
      <c r="N51" s="963">
        <v>1.5</v>
      </c>
      <c r="O51" s="964"/>
      <c r="P51" s="963">
        <v>1.5</v>
      </c>
      <c r="Q51" s="964"/>
      <c r="R51" s="963">
        <v>1.5</v>
      </c>
      <c r="S51" s="964"/>
      <c r="T51" s="18"/>
      <c r="U51" s="18"/>
      <c r="V51" s="15"/>
      <c r="W51" s="1012"/>
      <c r="X51" s="1013"/>
      <c r="Y51" s="1013"/>
      <c r="Z51" s="1013"/>
      <c r="AA51" s="1013"/>
      <c r="AB51" s="1013"/>
      <c r="AC51" s="1013"/>
      <c r="AD51" s="1013"/>
      <c r="AE51" s="1013"/>
      <c r="AF51" s="1013"/>
      <c r="AG51" s="1013"/>
      <c r="AH51" s="1013"/>
      <c r="AI51" s="1013"/>
      <c r="AJ51" s="1014"/>
      <c r="AK51" s="76" t="s">
        <v>268</v>
      </c>
      <c r="AL51" s="15" t="s">
        <v>30</v>
      </c>
      <c r="AM51" s="291" t="s">
        <v>293</v>
      </c>
      <c r="AN51" s="292"/>
      <c r="AO51" s="141"/>
      <c r="AP51" s="141"/>
      <c r="AQ51" s="141"/>
      <c r="AR51" s="141"/>
      <c r="AS51" s="141"/>
      <c r="AT51" s="141"/>
      <c r="AU51" s="141"/>
      <c r="AV51" s="141"/>
      <c r="AW51" s="236"/>
      <c r="AX51" s="293"/>
    </row>
    <row r="52" spans="1:50" s="69" customFormat="1" ht="15" customHeight="1">
      <c r="A52" s="73"/>
      <c r="B52" s="18"/>
      <c r="C52" s="18"/>
      <c r="D52" s="18"/>
      <c r="E52" s="18"/>
      <c r="F52" s="72"/>
      <c r="G52" s="18"/>
      <c r="H52" s="965" t="s">
        <v>294</v>
      </c>
      <c r="I52" s="965"/>
      <c r="J52" s="965"/>
      <c r="K52" s="965"/>
      <c r="L52" s="965"/>
      <c r="M52" s="965"/>
      <c r="N52" s="966">
        <f>ROUND(N49*N51,1)</f>
        <v>3886.5</v>
      </c>
      <c r="O52" s="967"/>
      <c r="P52" s="966">
        <f>ROUND(P49*P51,1)</f>
        <v>3888</v>
      </c>
      <c r="Q52" s="967"/>
      <c r="R52" s="966">
        <f>ROUND(R49*R51,1)</f>
        <v>3889.5</v>
      </c>
      <c r="S52" s="967"/>
      <c r="T52" s="18"/>
      <c r="U52" s="18"/>
      <c r="V52" s="15"/>
      <c r="W52" s="1012"/>
      <c r="X52" s="1013"/>
      <c r="Y52" s="1013"/>
      <c r="Z52" s="1013"/>
      <c r="AA52" s="1013"/>
      <c r="AB52" s="1013"/>
      <c r="AC52" s="1013"/>
      <c r="AD52" s="1013"/>
      <c r="AE52" s="1013"/>
      <c r="AF52" s="1013"/>
      <c r="AG52" s="1013"/>
      <c r="AH52" s="1013"/>
      <c r="AI52" s="1013"/>
      <c r="AJ52" s="1014"/>
      <c r="AK52" s="76" t="s">
        <v>269</v>
      </c>
      <c r="AL52" s="15" t="s">
        <v>30</v>
      </c>
      <c r="AM52" s="294" t="s">
        <v>286</v>
      </c>
      <c r="AN52" s="292"/>
      <c r="AO52" s="141"/>
      <c r="AP52" s="141"/>
      <c r="AQ52" s="141"/>
      <c r="AR52" s="141"/>
      <c r="AS52" s="141"/>
      <c r="AT52" s="141"/>
      <c r="AU52" s="141"/>
      <c r="AV52" s="141"/>
      <c r="AW52" s="236"/>
      <c r="AX52" s="293"/>
    </row>
    <row r="53" spans="1:50" s="69" customFormat="1" ht="15" customHeight="1">
      <c r="A53" s="73"/>
      <c r="B53" s="18"/>
      <c r="C53" s="18"/>
      <c r="D53" s="18"/>
      <c r="E53" s="18"/>
      <c r="F53" s="72"/>
      <c r="G53" s="18"/>
      <c r="H53" s="985" t="s">
        <v>295</v>
      </c>
      <c r="I53" s="985"/>
      <c r="J53" s="985"/>
      <c r="K53" s="985"/>
      <c r="L53" s="985"/>
      <c r="M53" s="985"/>
      <c r="N53" s="986">
        <f>N52/9.81</f>
        <v>396.17737003058102</v>
      </c>
      <c r="O53" s="986"/>
      <c r="P53" s="986">
        <f>P52/9.81</f>
        <v>396.33027522935777</v>
      </c>
      <c r="Q53" s="986"/>
      <c r="R53" s="986">
        <f>R52/9.81</f>
        <v>396.48318042813452</v>
      </c>
      <c r="S53" s="986"/>
      <c r="T53" s="24"/>
      <c r="U53" s="16"/>
      <c r="V53" s="15"/>
      <c r="W53" s="1012"/>
      <c r="X53" s="1013"/>
      <c r="Y53" s="1013"/>
      <c r="Z53" s="1013"/>
      <c r="AA53" s="1013"/>
      <c r="AB53" s="1013"/>
      <c r="AC53" s="1013"/>
      <c r="AD53" s="1013"/>
      <c r="AE53" s="1013"/>
      <c r="AF53" s="1013"/>
      <c r="AG53" s="1013"/>
      <c r="AH53" s="1013"/>
      <c r="AI53" s="1013"/>
      <c r="AJ53" s="1014"/>
      <c r="AK53" s="76" t="s">
        <v>270</v>
      </c>
      <c r="AL53" s="15" t="s">
        <v>30</v>
      </c>
      <c r="AM53" s="294" t="s">
        <v>287</v>
      </c>
      <c r="AN53" s="292"/>
      <c r="AO53" s="141"/>
      <c r="AP53" s="141"/>
      <c r="AQ53" s="141"/>
      <c r="AR53" s="141"/>
      <c r="AS53" s="141"/>
      <c r="AT53" s="141"/>
      <c r="AU53" s="141"/>
      <c r="AV53" s="141"/>
      <c r="AW53" s="236"/>
      <c r="AX53" s="293"/>
    </row>
    <row r="54" spans="1:50" s="69" customFormat="1" ht="15" customHeight="1">
      <c r="A54" s="73"/>
      <c r="B54" s="18"/>
      <c r="C54" s="15"/>
      <c r="D54" s="15"/>
      <c r="E54" s="15"/>
      <c r="F54" s="18"/>
      <c r="G54" s="76"/>
      <c r="H54" s="295"/>
      <c r="I54" s="295"/>
      <c r="J54" s="295"/>
      <c r="K54" s="295"/>
      <c r="L54" s="295"/>
      <c r="M54" s="295"/>
      <c r="N54" s="296"/>
      <c r="O54" s="296"/>
      <c r="P54" s="296"/>
      <c r="Q54" s="296"/>
      <c r="R54" s="296"/>
      <c r="S54" s="296"/>
      <c r="T54" s="15"/>
      <c r="U54" s="16"/>
      <c r="V54" s="15"/>
      <c r="W54" s="73" t="s">
        <v>296</v>
      </c>
      <c r="X54" s="18"/>
      <c r="Y54" s="18"/>
      <c r="Z54" s="15" t="s">
        <v>30</v>
      </c>
      <c r="AA54" s="297" t="s">
        <v>297</v>
      </c>
      <c r="AB54" s="18"/>
      <c r="AC54" s="18"/>
      <c r="AD54" s="18"/>
      <c r="AE54" s="18"/>
      <c r="AF54" s="18"/>
      <c r="AG54" s="18"/>
      <c r="AH54" s="18"/>
      <c r="AI54" s="18"/>
      <c r="AJ54" s="15"/>
      <c r="AK54" s="298" t="s">
        <v>271</v>
      </c>
      <c r="AL54" s="15" t="s">
        <v>30</v>
      </c>
      <c r="AM54" s="299" t="s">
        <v>298</v>
      </c>
      <c r="AN54" s="15"/>
      <c r="AO54" s="15"/>
      <c r="AP54" s="15"/>
      <c r="AQ54" s="15"/>
      <c r="AR54" s="15"/>
      <c r="AS54" s="78"/>
      <c r="AT54" s="78"/>
      <c r="AU54" s="78"/>
      <c r="AV54" s="78"/>
      <c r="AW54" s="194"/>
      <c r="AX54" s="195"/>
    </row>
    <row r="55" spans="1:50" s="69" customFormat="1" ht="15" customHeight="1">
      <c r="A55" s="73"/>
      <c r="B55" s="15"/>
      <c r="C55" s="15"/>
      <c r="D55" s="15"/>
      <c r="E55" s="15"/>
      <c r="F55" s="18"/>
      <c r="G55" s="68" t="s">
        <v>299</v>
      </c>
      <c r="H55" s="24"/>
      <c r="I55" s="24"/>
      <c r="J55" s="24"/>
      <c r="K55" s="146"/>
      <c r="L55" s="16"/>
      <c r="M55" s="146"/>
      <c r="N55" s="146"/>
      <c r="O55" s="238"/>
      <c r="P55" s="238"/>
      <c r="Q55" s="238"/>
      <c r="R55" s="238"/>
      <c r="S55" s="238"/>
      <c r="T55" s="146"/>
      <c r="U55" s="15"/>
      <c r="V55" s="300"/>
      <c r="W55" s="18" t="s">
        <v>300</v>
      </c>
      <c r="X55" s="93"/>
      <c r="Y55" s="18"/>
      <c r="Z55" s="15"/>
      <c r="AA55" s="80"/>
      <c r="AB55" s="18"/>
      <c r="AC55" s="18"/>
      <c r="AD55" s="18"/>
      <c r="AE55" s="18"/>
      <c r="AF55" s="18"/>
      <c r="AG55" s="18"/>
      <c r="AH55" s="18"/>
      <c r="AI55" s="18"/>
      <c r="AJ55" s="15"/>
      <c r="AK55" s="298" t="s">
        <v>272</v>
      </c>
      <c r="AL55" s="15" t="s">
        <v>30</v>
      </c>
      <c r="AM55" s="299" t="s">
        <v>301</v>
      </c>
      <c r="AN55" s="15"/>
      <c r="AO55" s="15"/>
      <c r="AP55" s="15"/>
      <c r="AQ55" s="15"/>
      <c r="AR55" s="15"/>
      <c r="AS55" s="15"/>
      <c r="AT55" s="15"/>
      <c r="AU55" s="15"/>
      <c r="AV55" s="15"/>
      <c r="AW55" s="15"/>
      <c r="AX55" s="21"/>
    </row>
    <row r="56" spans="1:50" s="69" customFormat="1" ht="15" customHeight="1">
      <c r="A56" s="73"/>
      <c r="B56" s="15"/>
      <c r="C56" s="15"/>
      <c r="D56" s="15"/>
      <c r="E56" s="15"/>
      <c r="F56" s="18"/>
      <c r="G56" s="184" t="s">
        <v>302</v>
      </c>
      <c r="H56" s="15"/>
      <c r="I56" s="15"/>
      <c r="J56" s="15"/>
      <c r="K56" s="15" t="s">
        <v>30</v>
      </c>
      <c r="L56" s="80">
        <v>0.15</v>
      </c>
      <c r="M56" s="18" t="s">
        <v>303</v>
      </c>
      <c r="N56" s="301" t="s">
        <v>244</v>
      </c>
      <c r="O56" s="80">
        <v>10</v>
      </c>
      <c r="P56" s="18" t="s">
        <v>304</v>
      </c>
      <c r="Q56" s="146"/>
      <c r="R56" s="18"/>
      <c r="S56" s="18"/>
      <c r="T56" s="146"/>
      <c r="U56" s="78"/>
      <c r="V56" s="300"/>
      <c r="W56" s="302" t="s">
        <v>305</v>
      </c>
      <c r="X56" s="18" t="s">
        <v>306</v>
      </c>
      <c r="Y56" s="93"/>
      <c r="Z56" s="15" t="s">
        <v>30</v>
      </c>
      <c r="AA56" s="32" t="s">
        <v>307</v>
      </c>
      <c r="AB56" s="18"/>
      <c r="AC56" s="18"/>
      <c r="AD56" s="18"/>
      <c r="AE56" s="18"/>
      <c r="AF56" s="18"/>
      <c r="AG56" s="18"/>
      <c r="AH56" s="18"/>
      <c r="AI56" s="18"/>
      <c r="AJ56" s="15"/>
      <c r="AK56" s="298" t="s">
        <v>273</v>
      </c>
      <c r="AL56" s="15" t="s">
        <v>30</v>
      </c>
      <c r="AM56" s="299" t="s">
        <v>308</v>
      </c>
      <c r="AN56" s="303"/>
      <c r="AO56" s="303"/>
      <c r="AP56" s="303"/>
      <c r="AQ56" s="303"/>
      <c r="AR56" s="303"/>
      <c r="AS56" s="303"/>
      <c r="AT56" s="303"/>
      <c r="AU56" s="303"/>
      <c r="AV56" s="303"/>
      <c r="AW56" s="303"/>
      <c r="AX56" s="304"/>
    </row>
    <row r="57" spans="1:50" s="69" customFormat="1" ht="15" customHeight="1">
      <c r="A57" s="73"/>
      <c r="B57" s="15"/>
      <c r="C57" s="15"/>
      <c r="D57" s="15"/>
      <c r="E57" s="15"/>
      <c r="F57" s="18"/>
      <c r="G57" s="184" t="s">
        <v>309</v>
      </c>
      <c r="H57" s="305"/>
      <c r="I57" s="305"/>
      <c r="J57" s="305"/>
      <c r="K57" s="15" t="s">
        <v>30</v>
      </c>
      <c r="L57" s="80">
        <v>7</v>
      </c>
      <c r="M57" s="18" t="s">
        <v>310</v>
      </c>
      <c r="N57" s="305"/>
      <c r="O57" s="305"/>
      <c r="P57" s="305"/>
      <c r="Q57" s="305"/>
      <c r="R57" s="305"/>
      <c r="S57" s="305"/>
      <c r="T57" s="290"/>
      <c r="U57" s="78"/>
      <c r="V57" s="300"/>
      <c r="W57" s="302" t="s">
        <v>305</v>
      </c>
      <c r="X57" s="18" t="s">
        <v>311</v>
      </c>
      <c r="Y57" s="93"/>
      <c r="Z57" s="15" t="s">
        <v>30</v>
      </c>
      <c r="AA57" s="969" t="s">
        <v>312</v>
      </c>
      <c r="AB57" s="969"/>
      <c r="AC57" s="18"/>
      <c r="AD57" s="18"/>
      <c r="AE57" s="18"/>
      <c r="AF57" s="18"/>
      <c r="AG57" s="18"/>
      <c r="AH57" s="18"/>
      <c r="AI57" s="18"/>
      <c r="AJ57" s="15"/>
      <c r="AK57" s="298" t="s">
        <v>274</v>
      </c>
      <c r="AL57" s="15" t="s">
        <v>30</v>
      </c>
      <c r="AM57" s="299" t="s">
        <v>313</v>
      </c>
      <c r="AN57" s="303"/>
      <c r="AO57" s="303"/>
      <c r="AP57" s="303"/>
      <c r="AQ57" s="303"/>
      <c r="AR57" s="303"/>
      <c r="AS57" s="303"/>
      <c r="AT57" s="303"/>
      <c r="AU57" s="303"/>
      <c r="AV57" s="303"/>
      <c r="AW57" s="303"/>
      <c r="AX57" s="304"/>
    </row>
    <row r="58" spans="1:50" s="69" customFormat="1" ht="15" customHeight="1">
      <c r="A58" s="73"/>
      <c r="B58" s="15"/>
      <c r="C58" s="15"/>
      <c r="D58" s="15"/>
      <c r="E58" s="15"/>
      <c r="F58" s="18"/>
      <c r="G58" s="184"/>
      <c r="H58" s="305"/>
      <c r="I58" s="305"/>
      <c r="J58" s="305"/>
      <c r="K58" s="305"/>
      <c r="L58" s="16"/>
      <c r="M58" s="146"/>
      <c r="N58" s="18"/>
      <c r="O58" s="146"/>
      <c r="P58" s="146"/>
      <c r="Q58" s="146"/>
      <c r="R58" s="146"/>
      <c r="S58" s="146"/>
      <c r="T58" s="146"/>
      <c r="U58" s="78"/>
      <c r="V58" s="300"/>
      <c r="W58" s="302" t="s">
        <v>305</v>
      </c>
      <c r="X58" s="18" t="s">
        <v>314</v>
      </c>
      <c r="Y58" s="18"/>
      <c r="Z58" s="15" t="s">
        <v>30</v>
      </c>
      <c r="AA58" s="149" t="s">
        <v>315</v>
      </c>
      <c r="AB58" s="149"/>
      <c r="AC58" s="149"/>
      <c r="AD58" s="149"/>
      <c r="AE58" s="18"/>
      <c r="AF58" s="18"/>
      <c r="AG58" s="18"/>
      <c r="AH58" s="18"/>
      <c r="AI58" s="18"/>
      <c r="AJ58" s="15"/>
      <c r="AK58" s="957" t="s">
        <v>316</v>
      </c>
      <c r="AL58" s="958"/>
      <c r="AM58" s="958"/>
      <c r="AN58" s="958"/>
      <c r="AO58" s="958"/>
      <c r="AP58" s="958"/>
      <c r="AQ58" s="958"/>
      <c r="AR58" s="958"/>
      <c r="AS58" s="958"/>
      <c r="AT58" s="958"/>
      <c r="AU58" s="958"/>
      <c r="AV58" s="958"/>
      <c r="AW58" s="958"/>
      <c r="AX58" s="959"/>
    </row>
    <row r="59" spans="1:50" s="69" customFormat="1" ht="15" customHeight="1">
      <c r="A59" s="870" t="s">
        <v>317</v>
      </c>
      <c r="B59" s="871"/>
      <c r="C59" s="871"/>
      <c r="D59" s="871"/>
      <c r="E59" s="871"/>
      <c r="F59" s="871"/>
      <c r="G59" s="871"/>
      <c r="H59" s="871"/>
      <c r="I59" s="871"/>
      <c r="J59" s="871"/>
      <c r="K59" s="871"/>
      <c r="L59" s="871"/>
      <c r="M59" s="871"/>
      <c r="N59" s="871"/>
      <c r="O59" s="871"/>
      <c r="P59" s="871"/>
      <c r="Q59" s="871"/>
      <c r="R59" s="871"/>
      <c r="S59" s="871"/>
      <c r="T59" s="871"/>
      <c r="U59" s="871"/>
      <c r="V59" s="871"/>
      <c r="W59" s="871"/>
      <c r="X59" s="871"/>
      <c r="Y59" s="871"/>
      <c r="Z59" s="871"/>
      <c r="AA59" s="871"/>
      <c r="AB59" s="871"/>
      <c r="AC59" s="871"/>
      <c r="AD59" s="871"/>
      <c r="AE59" s="871"/>
      <c r="AF59" s="871"/>
      <c r="AG59" s="871"/>
      <c r="AH59" s="871"/>
      <c r="AI59" s="871"/>
      <c r="AJ59" s="871"/>
      <c r="AK59" s="871"/>
      <c r="AL59" s="871"/>
      <c r="AM59" s="871"/>
      <c r="AN59" s="871"/>
      <c r="AO59" s="871"/>
      <c r="AP59" s="871"/>
      <c r="AQ59" s="871"/>
      <c r="AR59" s="871"/>
      <c r="AS59" s="871"/>
      <c r="AT59" s="871"/>
      <c r="AU59" s="871"/>
      <c r="AV59" s="871"/>
      <c r="AW59" s="871"/>
      <c r="AX59" s="968"/>
    </row>
    <row r="60" spans="1:50" s="69" customFormat="1" ht="22.8">
      <c r="A60" s="73"/>
      <c r="B60" s="15"/>
      <c r="C60" s="15"/>
      <c r="D60" s="15"/>
      <c r="E60" s="15"/>
      <c r="F60" s="72"/>
      <c r="G60" s="184"/>
      <c r="H60" s="15"/>
      <c r="I60" s="15"/>
      <c r="J60" s="15"/>
      <c r="K60" s="15"/>
      <c r="L60" s="16"/>
      <c r="M60" s="146"/>
      <c r="N60" s="18"/>
      <c r="O60" s="18"/>
      <c r="P60" s="15"/>
      <c r="Q60" s="15"/>
      <c r="R60" s="15"/>
      <c r="S60" s="15"/>
      <c r="T60" s="15"/>
      <c r="U60" s="15"/>
      <c r="V60" s="300"/>
      <c r="W60" s="73"/>
      <c r="X60" s="18"/>
      <c r="Y60" s="18"/>
      <c r="Z60" s="18"/>
      <c r="AA60" s="18"/>
      <c r="AB60" s="18"/>
      <c r="AC60" s="18"/>
      <c r="AD60" s="306"/>
      <c r="AE60" s="82"/>
      <c r="AF60" s="74"/>
      <c r="AG60" s="74"/>
      <c r="AH60" s="18"/>
      <c r="AI60" s="18"/>
      <c r="AJ60" s="18"/>
      <c r="AK60" s="951" t="s">
        <v>318</v>
      </c>
      <c r="AL60" s="952"/>
      <c r="AM60" s="952"/>
      <c r="AN60" s="952"/>
      <c r="AO60" s="952"/>
      <c r="AP60" s="952"/>
      <c r="AQ60" s="952"/>
      <c r="AR60" s="952"/>
      <c r="AS60" s="952"/>
      <c r="AT60" s="952"/>
      <c r="AU60" s="952"/>
      <c r="AV60" s="952"/>
      <c r="AW60" s="952"/>
      <c r="AX60" s="953"/>
    </row>
    <row r="61" spans="1:50" s="69" customFormat="1" ht="15" customHeight="1" thickBot="1">
      <c r="A61" s="73" t="s">
        <v>319</v>
      </c>
      <c r="B61" s="15"/>
      <c r="C61" s="15"/>
      <c r="D61" s="15"/>
      <c r="E61" s="15"/>
      <c r="F61" s="72"/>
      <c r="G61" s="30" t="s">
        <v>320</v>
      </c>
      <c r="H61" s="305"/>
      <c r="I61" s="305"/>
      <c r="J61" s="305"/>
      <c r="K61" s="305"/>
      <c r="L61" s="16"/>
      <c r="M61" s="146"/>
      <c r="N61" s="18"/>
      <c r="O61" s="18"/>
      <c r="P61" s="93"/>
      <c r="Q61" s="146"/>
      <c r="R61" s="15"/>
      <c r="S61" s="15"/>
      <c r="T61" s="15"/>
      <c r="U61" s="15"/>
      <c r="V61" s="15"/>
      <c r="W61" s="68"/>
      <c r="X61" s="18"/>
      <c r="Y61" s="18"/>
      <c r="Z61" s="18"/>
      <c r="AA61" s="18"/>
      <c r="AB61" s="18"/>
      <c r="AC61" s="18"/>
      <c r="AD61" s="306"/>
      <c r="AE61" s="82"/>
      <c r="AF61" s="74"/>
      <c r="AG61" s="74"/>
      <c r="AH61" s="18"/>
      <c r="AI61" s="18"/>
      <c r="AJ61" s="18"/>
      <c r="AK61" s="68" t="s">
        <v>321</v>
      </c>
      <c r="AL61" s="15"/>
      <c r="AM61" s="15"/>
      <c r="AN61" s="15"/>
      <c r="AO61" s="15"/>
      <c r="AP61" s="15"/>
      <c r="AQ61" s="15"/>
      <c r="AR61" s="15"/>
      <c r="AS61" s="15"/>
      <c r="AT61" s="15"/>
      <c r="AU61" s="15"/>
      <c r="AV61" s="15"/>
      <c r="AW61" s="15"/>
      <c r="AX61" s="21"/>
    </row>
    <row r="62" spans="1:50" s="69" customFormat="1" ht="15" customHeight="1" thickBot="1">
      <c r="A62" s="73" t="s">
        <v>322</v>
      </c>
      <c r="B62" s="15"/>
      <c r="C62" s="15"/>
      <c r="D62" s="15"/>
      <c r="E62" s="15"/>
      <c r="F62" s="72"/>
      <c r="G62" s="96" t="s">
        <v>323</v>
      </c>
      <c r="H62" s="305"/>
      <c r="I62" s="305"/>
      <c r="J62" s="305"/>
      <c r="K62" s="305"/>
      <c r="L62" s="16"/>
      <c r="M62" s="146"/>
      <c r="N62" s="18"/>
      <c r="O62" s="18"/>
      <c r="P62" s="146"/>
      <c r="Q62" s="146"/>
      <c r="R62" s="15"/>
      <c r="S62" s="15"/>
      <c r="T62" s="15"/>
      <c r="U62" s="15"/>
      <c r="V62" s="15"/>
      <c r="W62" s="960" t="s">
        <v>355</v>
      </c>
      <c r="X62" s="961"/>
      <c r="Y62" s="961"/>
      <c r="Z62" s="961"/>
      <c r="AA62" s="961"/>
      <c r="AB62" s="961"/>
      <c r="AC62" s="961"/>
      <c r="AD62" s="961"/>
      <c r="AE62" s="961"/>
      <c r="AF62" s="961"/>
      <c r="AG62" s="961"/>
      <c r="AH62" s="961"/>
      <c r="AI62" s="961"/>
      <c r="AJ62" s="962"/>
      <c r="AK62" s="915" t="s">
        <v>326</v>
      </c>
      <c r="AL62" s="916"/>
      <c r="AM62" s="917"/>
      <c r="AN62" s="307" t="s">
        <v>327</v>
      </c>
      <c r="AO62" s="307" t="s">
        <v>328</v>
      </c>
      <c r="AP62" s="307" t="s">
        <v>329</v>
      </c>
      <c r="AQ62" s="308" t="s">
        <v>330</v>
      </c>
      <c r="AR62" s="308" t="s">
        <v>331</v>
      </c>
      <c r="AS62" s="307" t="s">
        <v>332</v>
      </c>
      <c r="AT62" s="307" t="s">
        <v>333</v>
      </c>
      <c r="AU62" s="307" t="s">
        <v>334</v>
      </c>
      <c r="AV62" s="307" t="s">
        <v>335</v>
      </c>
      <c r="AW62" s="307" t="s">
        <v>336</v>
      </c>
      <c r="AX62" s="918" t="s">
        <v>337</v>
      </c>
    </row>
    <row r="63" spans="1:50" s="69" customFormat="1" ht="15" customHeight="1" thickBot="1">
      <c r="A63" s="73"/>
      <c r="B63" s="15"/>
      <c r="C63" s="15"/>
      <c r="D63" s="15"/>
      <c r="E63" s="15"/>
      <c r="F63" s="72"/>
      <c r="G63" s="18"/>
      <c r="H63" s="309"/>
      <c r="I63" s="309"/>
      <c r="J63" s="309"/>
      <c r="K63" s="954" t="s">
        <v>338</v>
      </c>
      <c r="L63" s="955"/>
      <c r="M63" s="956"/>
      <c r="N63" s="954" t="s">
        <v>339</v>
      </c>
      <c r="O63" s="955"/>
      <c r="P63" s="955"/>
      <c r="Q63" s="956"/>
      <c r="R63" s="954" t="s">
        <v>338</v>
      </c>
      <c r="S63" s="955"/>
      <c r="T63" s="956"/>
      <c r="U63" s="18"/>
      <c r="V63" s="15"/>
      <c r="W63" s="68" t="s">
        <v>356</v>
      </c>
      <c r="X63" s="24"/>
      <c r="Y63" s="24"/>
      <c r="Z63" s="904"/>
      <c r="AA63" s="904"/>
      <c r="AB63" s="904"/>
      <c r="AC63" s="904"/>
      <c r="AD63" s="327" t="s">
        <v>357</v>
      </c>
      <c r="AE63" s="328"/>
      <c r="AF63" s="905"/>
      <c r="AG63" s="905"/>
      <c r="AH63" s="905"/>
      <c r="AI63" s="18"/>
      <c r="AJ63" s="72"/>
      <c r="AK63" s="906" t="s">
        <v>340</v>
      </c>
      <c r="AL63" s="907"/>
      <c r="AM63" s="908"/>
      <c r="AN63" s="310" t="s">
        <v>341</v>
      </c>
      <c r="AO63" s="310" t="s">
        <v>341</v>
      </c>
      <c r="AP63" s="310" t="s">
        <v>341</v>
      </c>
      <c r="AQ63" s="310" t="s">
        <v>341</v>
      </c>
      <c r="AR63" s="310" t="s">
        <v>342</v>
      </c>
      <c r="AS63" s="310" t="s">
        <v>342</v>
      </c>
      <c r="AT63" s="310" t="s">
        <v>341</v>
      </c>
      <c r="AU63" s="310" t="s">
        <v>341</v>
      </c>
      <c r="AV63" s="310" t="s">
        <v>341</v>
      </c>
      <c r="AW63" s="310" t="s">
        <v>341</v>
      </c>
      <c r="AX63" s="919"/>
    </row>
    <row r="64" spans="1:50" s="69" customFormat="1" ht="15" customHeight="1">
      <c r="A64" s="73"/>
      <c r="B64" s="15"/>
      <c r="C64" s="15"/>
      <c r="D64" s="15"/>
      <c r="E64" s="15"/>
      <c r="F64" s="72"/>
      <c r="G64" s="18"/>
      <c r="H64" s="928" t="s">
        <v>343</v>
      </c>
      <c r="I64" s="929"/>
      <c r="J64" s="930"/>
      <c r="K64" s="311" t="s">
        <v>327</v>
      </c>
      <c r="L64" s="311" t="s">
        <v>328</v>
      </c>
      <c r="M64" s="311" t="s">
        <v>329</v>
      </c>
      <c r="N64" s="931"/>
      <c r="O64" s="932"/>
      <c r="P64" s="932"/>
      <c r="Q64" s="933"/>
      <c r="R64" s="311" t="s">
        <v>334</v>
      </c>
      <c r="S64" s="311" t="s">
        <v>335</v>
      </c>
      <c r="T64" s="311" t="s">
        <v>336</v>
      </c>
      <c r="U64" s="18"/>
      <c r="V64" s="15"/>
      <c r="W64" s="73" t="s">
        <v>359</v>
      </c>
      <c r="X64" s="18"/>
      <c r="Y64" s="15" t="s">
        <v>30</v>
      </c>
      <c r="Z64" s="329"/>
      <c r="AA64" s="15"/>
      <c r="AB64" s="314"/>
      <c r="AC64" s="18"/>
      <c r="AD64" s="18" t="s">
        <v>360</v>
      </c>
      <c r="AE64" s="328"/>
      <c r="AF64" s="15" t="s">
        <v>30</v>
      </c>
      <c r="AG64" s="329"/>
      <c r="AH64" s="314"/>
      <c r="AI64" s="314"/>
      <c r="AJ64" s="72"/>
      <c r="AK64" s="906" t="s">
        <v>344</v>
      </c>
      <c r="AL64" s="907"/>
      <c r="AM64" s="908"/>
      <c r="AN64" s="310">
        <v>2</v>
      </c>
      <c r="AO64" s="310">
        <v>2</v>
      </c>
      <c r="AP64" s="310">
        <v>2</v>
      </c>
      <c r="AQ64" s="310">
        <v>2</v>
      </c>
      <c r="AR64" s="312"/>
      <c r="AS64" s="312"/>
      <c r="AT64" s="310">
        <v>2</v>
      </c>
      <c r="AU64" s="310">
        <v>2</v>
      </c>
      <c r="AV64" s="310">
        <v>2</v>
      </c>
      <c r="AW64" s="310">
        <v>2</v>
      </c>
      <c r="AX64" s="946">
        <f>AN64+AO64+AP64+AQ64+AR64+AS64+AT64+AU64+AV64+AW64</f>
        <v>16</v>
      </c>
    </row>
    <row r="65" spans="1:50" s="69" customFormat="1" ht="15" customHeight="1" thickBot="1">
      <c r="A65" s="73"/>
      <c r="B65" s="15"/>
      <c r="C65" s="15"/>
      <c r="D65" s="15"/>
      <c r="E65" s="15"/>
      <c r="F65" s="72"/>
      <c r="G65" s="18"/>
      <c r="H65" s="940" t="s">
        <v>340</v>
      </c>
      <c r="I65" s="941"/>
      <c r="J65" s="942"/>
      <c r="K65" s="313">
        <v>3</v>
      </c>
      <c r="L65" s="313">
        <v>3</v>
      </c>
      <c r="M65" s="313">
        <v>3</v>
      </c>
      <c r="N65" s="934"/>
      <c r="O65" s="935"/>
      <c r="P65" s="935"/>
      <c r="Q65" s="936"/>
      <c r="R65" s="313">
        <v>3</v>
      </c>
      <c r="S65" s="313">
        <v>3</v>
      </c>
      <c r="T65" s="313">
        <v>3</v>
      </c>
      <c r="U65" s="18"/>
      <c r="V65" s="15"/>
      <c r="W65" s="73" t="s">
        <v>363</v>
      </c>
      <c r="X65" s="18"/>
      <c r="Y65" s="15" t="s">
        <v>30</v>
      </c>
      <c r="Z65" s="329"/>
      <c r="AA65" s="18" t="s">
        <v>364</v>
      </c>
      <c r="AB65" s="18"/>
      <c r="AC65" s="18"/>
      <c r="AD65" s="18" t="s">
        <v>365</v>
      </c>
      <c r="AE65" s="328"/>
      <c r="AF65" s="15" t="s">
        <v>30</v>
      </c>
      <c r="AG65" s="329"/>
      <c r="AH65" s="18" t="s">
        <v>364</v>
      </c>
      <c r="AI65" s="18"/>
      <c r="AJ65" s="18"/>
      <c r="AK65" s="899" t="s">
        <v>345</v>
      </c>
      <c r="AL65" s="900"/>
      <c r="AM65" s="901"/>
      <c r="AN65" s="315" t="s">
        <v>346</v>
      </c>
      <c r="AO65" s="902" t="s">
        <v>347</v>
      </c>
      <c r="AP65" s="903"/>
      <c r="AQ65" s="315" t="s">
        <v>348</v>
      </c>
      <c r="AR65" s="316"/>
      <c r="AS65" s="316"/>
      <c r="AT65" s="315" t="s">
        <v>349</v>
      </c>
      <c r="AU65" s="898" t="s">
        <v>350</v>
      </c>
      <c r="AV65" s="898"/>
      <c r="AW65" s="315" t="s">
        <v>351</v>
      </c>
      <c r="AX65" s="947"/>
    </row>
    <row r="66" spans="1:50" s="69" customFormat="1" ht="15" customHeight="1" thickBot="1">
      <c r="A66" s="73"/>
      <c r="B66" s="15"/>
      <c r="C66" s="15"/>
      <c r="D66" s="15"/>
      <c r="E66" s="15"/>
      <c r="F66" s="72"/>
      <c r="G66" s="18"/>
      <c r="H66" s="948" t="s">
        <v>352</v>
      </c>
      <c r="I66" s="949"/>
      <c r="J66" s="950"/>
      <c r="K66" s="317">
        <v>150</v>
      </c>
      <c r="L66" s="317">
        <v>150</v>
      </c>
      <c r="M66" s="317">
        <v>150</v>
      </c>
      <c r="N66" s="937"/>
      <c r="O66" s="938"/>
      <c r="P66" s="938"/>
      <c r="Q66" s="939"/>
      <c r="R66" s="317">
        <v>150</v>
      </c>
      <c r="S66" s="317">
        <v>150</v>
      </c>
      <c r="T66" s="317">
        <v>150</v>
      </c>
      <c r="U66" s="18"/>
      <c r="V66" s="15"/>
      <c r="W66" s="73" t="s">
        <v>366</v>
      </c>
      <c r="X66" s="18"/>
      <c r="Y66" s="15" t="s">
        <v>30</v>
      </c>
      <c r="Z66" s="329"/>
      <c r="AA66" s="18" t="s">
        <v>90</v>
      </c>
      <c r="AB66" s="18"/>
      <c r="AC66" s="18"/>
      <c r="AD66" s="18" t="s">
        <v>367</v>
      </c>
      <c r="AE66" s="328"/>
      <c r="AF66" s="15" t="s">
        <v>30</v>
      </c>
      <c r="AG66" s="329"/>
      <c r="AH66" s="18" t="s">
        <v>90</v>
      </c>
      <c r="AI66" s="18"/>
      <c r="AJ66" s="18"/>
      <c r="AK66" s="76"/>
      <c r="AL66" s="15"/>
      <c r="AM66" s="15"/>
      <c r="AN66" s="146"/>
      <c r="AO66" s="146"/>
      <c r="AP66" s="146"/>
      <c r="AQ66" s="146"/>
      <c r="AR66" s="146"/>
      <c r="AS66" s="146"/>
      <c r="AT66" s="146"/>
      <c r="AU66" s="146"/>
      <c r="AV66" s="146"/>
      <c r="AW66" s="146"/>
      <c r="AX66" s="21"/>
    </row>
    <row r="67" spans="1:50" s="69" customFormat="1" ht="15" customHeight="1" thickBot="1">
      <c r="A67" s="73"/>
      <c r="B67" s="15"/>
      <c r="C67" s="15"/>
      <c r="D67" s="15"/>
      <c r="E67" s="15"/>
      <c r="F67" s="72"/>
      <c r="G67" s="18"/>
      <c r="H67" s="928" t="s">
        <v>343</v>
      </c>
      <c r="I67" s="929"/>
      <c r="J67" s="930"/>
      <c r="K67" s="931"/>
      <c r="L67" s="932"/>
      <c r="M67" s="933"/>
      <c r="N67" s="319" t="s">
        <v>330</v>
      </c>
      <c r="O67" s="319" t="s">
        <v>331</v>
      </c>
      <c r="P67" s="319" t="s">
        <v>332</v>
      </c>
      <c r="Q67" s="319" t="s">
        <v>333</v>
      </c>
      <c r="R67" s="931"/>
      <c r="S67" s="932"/>
      <c r="T67" s="933"/>
      <c r="U67" s="294"/>
      <c r="V67" s="15"/>
      <c r="W67" s="73" t="s">
        <v>371</v>
      </c>
      <c r="X67" s="18"/>
      <c r="Y67" s="15" t="s">
        <v>30</v>
      </c>
      <c r="Z67" s="329"/>
      <c r="AA67" s="18" t="s">
        <v>372</v>
      </c>
      <c r="AB67" s="18"/>
      <c r="AC67" s="18"/>
      <c r="AD67" s="18" t="s">
        <v>373</v>
      </c>
      <c r="AE67" s="328"/>
      <c r="AF67" s="15" t="s">
        <v>30</v>
      </c>
      <c r="AG67" s="329"/>
      <c r="AH67" s="18" t="s">
        <v>372</v>
      </c>
      <c r="AI67" s="18"/>
      <c r="AJ67" s="18"/>
      <c r="AK67" s="68" t="s">
        <v>353</v>
      </c>
      <c r="AL67" s="15"/>
      <c r="AM67" s="15"/>
      <c r="AN67" s="146"/>
      <c r="AO67" s="146"/>
      <c r="AP67" s="146"/>
      <c r="AQ67" s="146"/>
      <c r="AR67" s="146"/>
      <c r="AS67" s="146"/>
      <c r="AT67" s="146"/>
      <c r="AU67" s="146"/>
      <c r="AV67" s="146"/>
      <c r="AW67" s="146"/>
      <c r="AX67" s="21"/>
    </row>
    <row r="68" spans="1:50" s="69" customFormat="1" ht="15" customHeight="1">
      <c r="A68" s="73"/>
      <c r="B68" s="15"/>
      <c r="C68" s="15"/>
      <c r="D68" s="15"/>
      <c r="E68" s="15"/>
      <c r="F68" s="72"/>
      <c r="G68" s="18"/>
      <c r="H68" s="940" t="s">
        <v>340</v>
      </c>
      <c r="I68" s="941"/>
      <c r="J68" s="942"/>
      <c r="K68" s="934"/>
      <c r="L68" s="935"/>
      <c r="M68" s="936"/>
      <c r="N68" s="313">
        <v>3</v>
      </c>
      <c r="O68" s="313">
        <v>2</v>
      </c>
      <c r="P68" s="313">
        <v>2</v>
      </c>
      <c r="Q68" s="313">
        <v>3</v>
      </c>
      <c r="R68" s="934"/>
      <c r="S68" s="935"/>
      <c r="T68" s="936"/>
      <c r="U68" s="294"/>
      <c r="V68" s="15"/>
      <c r="W68" s="70"/>
      <c r="X68" s="24"/>
      <c r="Y68" s="24"/>
      <c r="Z68" s="15"/>
      <c r="AA68" s="882"/>
      <c r="AB68" s="882"/>
      <c r="AC68" s="318"/>
      <c r="AD68" s="321"/>
      <c r="AE68" s="321"/>
      <c r="AF68" s="322"/>
      <c r="AG68" s="322"/>
      <c r="AH68" s="322"/>
      <c r="AI68" s="131"/>
      <c r="AJ68" s="320"/>
      <c r="AK68" s="915" t="s">
        <v>326</v>
      </c>
      <c r="AL68" s="916"/>
      <c r="AM68" s="917"/>
      <c r="AN68" s="307" t="s">
        <v>327</v>
      </c>
      <c r="AO68" s="307" t="s">
        <v>328</v>
      </c>
      <c r="AP68" s="307" t="s">
        <v>329</v>
      </c>
      <c r="AQ68" s="308" t="s">
        <v>330</v>
      </c>
      <c r="AR68" s="308" t="s">
        <v>331</v>
      </c>
      <c r="AS68" s="307" t="s">
        <v>332</v>
      </c>
      <c r="AT68" s="307" t="s">
        <v>333</v>
      </c>
      <c r="AU68" s="307" t="s">
        <v>334</v>
      </c>
      <c r="AV68" s="307" t="s">
        <v>335</v>
      </c>
      <c r="AW68" s="307" t="s">
        <v>336</v>
      </c>
      <c r="AX68" s="918" t="s">
        <v>337</v>
      </c>
    </row>
    <row r="69" spans="1:50" s="69" customFormat="1" ht="15" customHeight="1" thickBot="1">
      <c r="A69" s="73"/>
      <c r="B69" s="15"/>
      <c r="C69" s="15"/>
      <c r="D69" s="15"/>
      <c r="E69" s="15"/>
      <c r="F69" s="72"/>
      <c r="G69" s="18"/>
      <c r="H69" s="943" t="s">
        <v>354</v>
      </c>
      <c r="I69" s="944"/>
      <c r="J69" s="945"/>
      <c r="K69" s="937"/>
      <c r="L69" s="938"/>
      <c r="M69" s="939"/>
      <c r="N69" s="323">
        <v>150</v>
      </c>
      <c r="O69" s="323">
        <v>150</v>
      </c>
      <c r="P69" s="323">
        <v>150</v>
      </c>
      <c r="Q69" s="323">
        <v>150</v>
      </c>
      <c r="R69" s="937"/>
      <c r="S69" s="938"/>
      <c r="T69" s="939"/>
      <c r="U69" s="294"/>
      <c r="V69" s="15"/>
      <c r="W69" s="70"/>
      <c r="AK69" s="906" t="s">
        <v>340</v>
      </c>
      <c r="AL69" s="907"/>
      <c r="AM69" s="908"/>
      <c r="AN69" s="310" t="s">
        <v>341</v>
      </c>
      <c r="AO69" s="310" t="s">
        <v>341</v>
      </c>
      <c r="AP69" s="310" t="s">
        <v>341</v>
      </c>
      <c r="AQ69" s="310" t="s">
        <v>341</v>
      </c>
      <c r="AR69" s="310" t="s">
        <v>342</v>
      </c>
      <c r="AS69" s="310" t="s">
        <v>342</v>
      </c>
      <c r="AT69" s="310" t="s">
        <v>341</v>
      </c>
      <c r="AU69" s="310" t="s">
        <v>341</v>
      </c>
      <c r="AV69" s="310" t="s">
        <v>341</v>
      </c>
      <c r="AW69" s="310" t="s">
        <v>341</v>
      </c>
      <c r="AX69" s="919"/>
    </row>
    <row r="70" spans="1:50" s="69" customFormat="1" ht="15" customHeight="1">
      <c r="A70" s="73"/>
      <c r="B70" s="15"/>
      <c r="C70" s="15"/>
      <c r="D70" s="15"/>
      <c r="E70" s="15"/>
      <c r="F70" s="72"/>
      <c r="G70" s="18"/>
      <c r="H70" s="324"/>
      <c r="I70" s="324"/>
      <c r="J70" s="324"/>
      <c r="K70" s="325"/>
      <c r="L70" s="325"/>
      <c r="M70" s="325"/>
      <c r="N70" s="326"/>
      <c r="O70" s="326"/>
      <c r="P70" s="326"/>
      <c r="Q70" s="326"/>
      <c r="R70" s="325"/>
      <c r="S70" s="325"/>
      <c r="T70" s="325"/>
      <c r="U70" s="294"/>
      <c r="V70" s="15"/>
      <c r="W70" s="70"/>
      <c r="AK70" s="906" t="s">
        <v>344</v>
      </c>
      <c r="AL70" s="907"/>
      <c r="AM70" s="908"/>
      <c r="AN70" s="310">
        <v>3</v>
      </c>
      <c r="AO70" s="310">
        <v>2</v>
      </c>
      <c r="AP70" s="310">
        <v>2</v>
      </c>
      <c r="AQ70" s="310">
        <v>2</v>
      </c>
      <c r="AR70" s="312"/>
      <c r="AS70" s="312"/>
      <c r="AT70" s="310">
        <v>2</v>
      </c>
      <c r="AU70" s="310">
        <v>2</v>
      </c>
      <c r="AV70" s="310">
        <v>2</v>
      </c>
      <c r="AW70" s="310">
        <v>3</v>
      </c>
      <c r="AX70" s="897">
        <f>AN70+AO70+AP70+AQ70+AR70+AS70+AT70+AU70+AV70+AW70</f>
        <v>18</v>
      </c>
    </row>
    <row r="71" spans="1:50" s="69" customFormat="1" ht="15" customHeight="1" thickBot="1">
      <c r="A71" s="73"/>
      <c r="B71" s="15"/>
      <c r="C71" s="15"/>
      <c r="D71" s="15"/>
      <c r="E71" s="15"/>
      <c r="F71" s="72"/>
      <c r="G71" s="96" t="s">
        <v>358</v>
      </c>
      <c r="H71" s="309"/>
      <c r="I71" s="309"/>
      <c r="J71" s="309"/>
      <c r="K71" s="305"/>
      <c r="L71" s="305"/>
      <c r="M71" s="305"/>
      <c r="N71" s="146"/>
      <c r="O71" s="146"/>
      <c r="P71" s="146"/>
      <c r="Q71" s="146"/>
      <c r="R71" s="305"/>
      <c r="S71" s="305"/>
      <c r="T71" s="305"/>
      <c r="U71" s="294"/>
      <c r="V71" s="15"/>
      <c r="W71" s="70"/>
      <c r="AK71" s="899" t="s">
        <v>345</v>
      </c>
      <c r="AL71" s="900"/>
      <c r="AM71" s="901"/>
      <c r="AN71" s="315" t="s">
        <v>346</v>
      </c>
      <c r="AO71" s="902" t="s">
        <v>347</v>
      </c>
      <c r="AP71" s="903"/>
      <c r="AQ71" s="315" t="s">
        <v>348</v>
      </c>
      <c r="AR71" s="316"/>
      <c r="AS71" s="316"/>
      <c r="AT71" s="315" t="s">
        <v>349</v>
      </c>
      <c r="AU71" s="898" t="s">
        <v>350</v>
      </c>
      <c r="AV71" s="898"/>
      <c r="AW71" s="315" t="s">
        <v>351</v>
      </c>
      <c r="AX71" s="898"/>
    </row>
    <row r="72" spans="1:50" s="69" customFormat="1" ht="15" customHeight="1" thickBot="1">
      <c r="A72" s="73"/>
      <c r="B72" s="15"/>
      <c r="C72" s="15"/>
      <c r="D72" s="15"/>
      <c r="E72" s="15"/>
      <c r="F72" s="72"/>
      <c r="G72" s="18"/>
      <c r="H72" s="909" t="s">
        <v>12</v>
      </c>
      <c r="I72" s="910"/>
      <c r="J72" s="910"/>
      <c r="K72" s="330" t="s">
        <v>324</v>
      </c>
      <c r="L72" s="911" t="s">
        <v>361</v>
      </c>
      <c r="M72" s="911"/>
      <c r="N72" s="911"/>
      <c r="O72" s="912" t="s">
        <v>325</v>
      </c>
      <c r="P72" s="912"/>
      <c r="Q72" s="912"/>
      <c r="R72" s="913" t="s">
        <v>362</v>
      </c>
      <c r="S72" s="913"/>
      <c r="T72" s="914"/>
      <c r="U72" s="294"/>
      <c r="V72" s="15"/>
      <c r="W72" s="70"/>
      <c r="AK72" s="73" t="s">
        <v>221</v>
      </c>
      <c r="AL72" s="295"/>
      <c r="AM72" s="295"/>
      <c r="AN72" s="325"/>
      <c r="AO72" s="325"/>
      <c r="AP72" s="325"/>
      <c r="AQ72" s="325"/>
      <c r="AR72" s="325"/>
      <c r="AS72" s="325"/>
      <c r="AT72" s="325"/>
      <c r="AU72" s="325"/>
      <c r="AV72" s="325"/>
      <c r="AW72" s="325"/>
      <c r="AX72" s="331"/>
    </row>
    <row r="73" spans="1:50" s="69" customFormat="1" ht="15" customHeight="1">
      <c r="A73" s="73"/>
      <c r="B73" s="15"/>
      <c r="C73" s="15"/>
      <c r="D73" s="15"/>
      <c r="E73" s="15"/>
      <c r="F73" s="72"/>
      <c r="G73" s="18"/>
      <c r="H73" s="920" t="s">
        <v>339</v>
      </c>
      <c r="I73" s="921"/>
      <c r="J73" s="921"/>
      <c r="K73" s="332">
        <v>4</v>
      </c>
      <c r="L73" s="922">
        <v>2</v>
      </c>
      <c r="M73" s="923"/>
      <c r="N73" s="924"/>
      <c r="O73" s="925">
        <v>15</v>
      </c>
      <c r="P73" s="925"/>
      <c r="Q73" s="925"/>
      <c r="R73" s="926"/>
      <c r="S73" s="926"/>
      <c r="T73" s="927"/>
      <c r="U73" s="294"/>
      <c r="V73" s="15"/>
      <c r="W73" s="70"/>
      <c r="AK73" s="76" t="s">
        <v>351</v>
      </c>
      <c r="AL73" s="15" t="s">
        <v>30</v>
      </c>
      <c r="AM73" s="24" t="s">
        <v>368</v>
      </c>
      <c r="AN73" s="146"/>
      <c r="AO73" s="146"/>
      <c r="AP73" s="146"/>
      <c r="AQ73" s="333"/>
      <c r="AR73" s="146"/>
      <c r="AS73" s="93"/>
      <c r="AT73" s="146"/>
      <c r="AU73" s="146"/>
      <c r="AV73" s="146"/>
      <c r="AW73" s="146"/>
      <c r="AX73" s="334"/>
    </row>
    <row r="74" spans="1:50" s="69" customFormat="1" ht="15" customHeight="1" thickBot="1">
      <c r="A74" s="73"/>
      <c r="B74" s="15"/>
      <c r="C74" s="15"/>
      <c r="D74" s="15"/>
      <c r="E74" s="15"/>
      <c r="F74" s="72"/>
      <c r="G74" s="18"/>
      <c r="H74" s="889" t="s">
        <v>338</v>
      </c>
      <c r="I74" s="890"/>
      <c r="J74" s="890"/>
      <c r="K74" s="335">
        <v>6</v>
      </c>
      <c r="L74" s="891">
        <v>2</v>
      </c>
      <c r="M74" s="892"/>
      <c r="N74" s="893"/>
      <c r="O74" s="894" t="s">
        <v>369</v>
      </c>
      <c r="P74" s="894"/>
      <c r="Q74" s="894"/>
      <c r="R74" s="895" t="s">
        <v>370</v>
      </c>
      <c r="S74" s="895"/>
      <c r="T74" s="896"/>
      <c r="U74" s="294"/>
      <c r="V74" s="15"/>
      <c r="W74" s="70"/>
      <c r="AK74" s="76" t="s">
        <v>350</v>
      </c>
      <c r="AL74" s="15" t="s">
        <v>30</v>
      </c>
      <c r="AM74" s="24" t="s">
        <v>374</v>
      </c>
      <c r="AN74" s="146"/>
      <c r="AO74" s="146"/>
      <c r="AP74" s="146"/>
      <c r="AQ74" s="99"/>
      <c r="AR74" s="146"/>
      <c r="AS74" s="336"/>
      <c r="AT74" s="336"/>
      <c r="AU74" s="336"/>
      <c r="AV74" s="336"/>
      <c r="AW74" s="146"/>
      <c r="AX74" s="334"/>
    </row>
    <row r="75" spans="1:50" s="69" customFormat="1" ht="15" customHeight="1">
      <c r="A75" s="337"/>
      <c r="B75" s="338"/>
      <c r="C75" s="338"/>
      <c r="D75" s="338"/>
      <c r="E75" s="338"/>
      <c r="F75" s="339"/>
      <c r="G75" s="340"/>
      <c r="H75" s="341"/>
      <c r="I75" s="341"/>
      <c r="J75" s="341"/>
      <c r="K75" s="341"/>
      <c r="L75" s="341"/>
      <c r="M75" s="341"/>
      <c r="N75" s="341"/>
      <c r="O75" s="341"/>
      <c r="P75" s="341"/>
      <c r="Q75" s="341"/>
      <c r="R75" s="341"/>
      <c r="S75" s="341"/>
      <c r="T75" s="341"/>
      <c r="U75" s="341"/>
      <c r="V75" s="338"/>
      <c r="W75" s="342"/>
      <c r="X75" s="343"/>
      <c r="Y75" s="343"/>
      <c r="Z75" s="343"/>
      <c r="AA75" s="343"/>
      <c r="AB75" s="344"/>
      <c r="AC75" s="340"/>
      <c r="AD75" s="345"/>
      <c r="AE75" s="346"/>
      <c r="AF75" s="347"/>
      <c r="AG75" s="340"/>
      <c r="AH75" s="348"/>
      <c r="AI75" s="340"/>
      <c r="AJ75" s="339"/>
      <c r="AK75" s="76" t="s">
        <v>349</v>
      </c>
      <c r="AL75" s="15" t="s">
        <v>30</v>
      </c>
      <c r="AM75" s="24" t="s">
        <v>375</v>
      </c>
      <c r="AN75" s="146"/>
      <c r="AO75" s="305"/>
      <c r="AP75" s="305"/>
      <c r="AQ75" s="146"/>
      <c r="AR75" s="146"/>
      <c r="AS75" s="336"/>
      <c r="AT75" s="336"/>
      <c r="AU75" s="336"/>
      <c r="AV75" s="336"/>
      <c r="AW75" s="146"/>
      <c r="AX75" s="334"/>
    </row>
    <row r="76" spans="1:50" s="69" customFormat="1" ht="15" customHeight="1">
      <c r="A76" s="73"/>
      <c r="B76" s="15"/>
      <c r="C76" s="15"/>
      <c r="D76" s="15"/>
      <c r="E76" s="15"/>
      <c r="F76" s="72"/>
      <c r="G76" s="70"/>
      <c r="H76" s="309"/>
      <c r="I76" s="309"/>
      <c r="J76" s="309"/>
      <c r="K76" s="309"/>
      <c r="L76" s="309"/>
      <c r="M76" s="309"/>
      <c r="N76" s="309"/>
      <c r="O76" s="294"/>
      <c r="P76" s="294"/>
      <c r="Q76" s="294"/>
      <c r="R76" s="294"/>
      <c r="S76" s="294"/>
      <c r="T76" s="294"/>
      <c r="U76" s="294"/>
      <c r="V76" s="15"/>
      <c r="W76" s="73"/>
      <c r="X76" s="18"/>
      <c r="Y76" s="15"/>
      <c r="Z76" s="314"/>
      <c r="AA76" s="349"/>
      <c r="AB76" s="349"/>
      <c r="AC76" s="18"/>
      <c r="AD76" s="18"/>
      <c r="AE76" s="350"/>
      <c r="AF76" s="15"/>
      <c r="AG76" s="314"/>
      <c r="AH76" s="314"/>
      <c r="AI76" s="314"/>
      <c r="AJ76" s="72"/>
      <c r="AK76" s="76" t="s">
        <v>348</v>
      </c>
      <c r="AL76" s="15" t="s">
        <v>30</v>
      </c>
      <c r="AM76" s="18" t="s">
        <v>376</v>
      </c>
      <c r="AN76" s="15"/>
      <c r="AO76" s="15"/>
      <c r="AP76" s="15"/>
      <c r="AQ76" s="15"/>
      <c r="AR76" s="15"/>
      <c r="AS76" s="336"/>
      <c r="AT76" s="336"/>
      <c r="AU76" s="336"/>
      <c r="AV76" s="336"/>
      <c r="AW76" s="15"/>
      <c r="AX76" s="21"/>
    </row>
    <row r="77" spans="1:50" s="69" customFormat="1" ht="15" customHeight="1">
      <c r="A77" s="73" t="s">
        <v>377</v>
      </c>
      <c r="B77" s="15"/>
      <c r="C77" s="15"/>
      <c r="D77" s="15"/>
      <c r="E77" s="15"/>
      <c r="F77" s="72"/>
      <c r="G77" s="30" t="s">
        <v>378</v>
      </c>
      <c r="H77" s="351"/>
      <c r="I77" s="294"/>
      <c r="J77" s="294"/>
      <c r="K77" s="294"/>
      <c r="L77" s="294"/>
      <c r="M77" s="294"/>
      <c r="N77" s="16"/>
      <c r="O77" s="93"/>
      <c r="P77" s="294"/>
      <c r="Q77" s="294"/>
      <c r="R77" s="294"/>
      <c r="S77" s="294"/>
      <c r="T77" s="294"/>
      <c r="U77" s="294"/>
      <c r="V77" s="15"/>
      <c r="W77" s="68" t="s">
        <v>379</v>
      </c>
      <c r="X77" s="18"/>
      <c r="Y77" s="15"/>
      <c r="Z77" s="314"/>
      <c r="AA77" s="18"/>
      <c r="AB77" s="18"/>
      <c r="AC77" s="18"/>
      <c r="AD77" s="18"/>
      <c r="AE77" s="328"/>
      <c r="AF77" s="15"/>
      <c r="AG77" s="314"/>
      <c r="AH77" s="18"/>
      <c r="AI77" s="18"/>
      <c r="AJ77" s="18"/>
      <c r="AK77" s="76" t="s">
        <v>347</v>
      </c>
      <c r="AL77" s="15" t="s">
        <v>30</v>
      </c>
      <c r="AM77" s="18" t="s">
        <v>380</v>
      </c>
      <c r="AN77" s="15"/>
      <c r="AO77" s="15"/>
      <c r="AP77" s="15"/>
      <c r="AQ77" s="15"/>
      <c r="AR77" s="15"/>
      <c r="AS77" s="15"/>
      <c r="AT77" s="15"/>
      <c r="AU77" s="24"/>
      <c r="AV77" s="24"/>
      <c r="AW77" s="15"/>
      <c r="AX77" s="21"/>
    </row>
    <row r="78" spans="1:50" s="69" customFormat="1" ht="15" customHeight="1">
      <c r="A78" s="73"/>
      <c r="B78" s="15"/>
      <c r="C78" s="15"/>
      <c r="D78" s="15"/>
      <c r="E78" s="15"/>
      <c r="F78" s="72"/>
      <c r="G78" s="96" t="s">
        <v>381</v>
      </c>
      <c r="H78" s="93"/>
      <c r="I78" s="18"/>
      <c r="J78" s="18"/>
      <c r="K78" s="18"/>
      <c r="L78" s="18"/>
      <c r="M78" s="18"/>
      <c r="N78" s="15" t="s">
        <v>30</v>
      </c>
      <c r="O78" s="32" t="s">
        <v>382</v>
      </c>
      <c r="P78" s="32"/>
      <c r="Q78" s="32"/>
      <c r="R78" s="32"/>
      <c r="S78" s="18"/>
      <c r="T78" s="18"/>
      <c r="U78" s="18"/>
      <c r="V78" s="15"/>
      <c r="W78" s="184" t="s">
        <v>383</v>
      </c>
      <c r="X78" s="18"/>
      <c r="Y78" s="18"/>
      <c r="Z78" s="18"/>
      <c r="AA78" s="18"/>
      <c r="AB78" s="15" t="s">
        <v>30</v>
      </c>
      <c r="AC78" s="93" t="s">
        <v>384</v>
      </c>
      <c r="AD78" s="18"/>
      <c r="AE78" s="328"/>
      <c r="AF78" s="15"/>
      <c r="AG78" s="314"/>
      <c r="AH78" s="18"/>
      <c r="AI78" s="18"/>
      <c r="AJ78" s="18"/>
      <c r="AK78" s="76" t="s">
        <v>346</v>
      </c>
      <c r="AL78" s="15" t="s">
        <v>30</v>
      </c>
      <c r="AM78" s="18" t="s">
        <v>385</v>
      </c>
      <c r="AN78" s="305"/>
      <c r="AO78" s="305"/>
      <c r="AP78" s="305"/>
      <c r="AQ78" s="305"/>
      <c r="AR78" s="305"/>
      <c r="AS78" s="305"/>
      <c r="AT78" s="305"/>
      <c r="AU78" s="305"/>
      <c r="AV78" s="305"/>
      <c r="AW78" s="305"/>
      <c r="AX78" s="334"/>
    </row>
    <row r="79" spans="1:50" s="69" customFormat="1" ht="15" customHeight="1">
      <c r="A79" s="73"/>
      <c r="B79" s="15"/>
      <c r="C79" s="15"/>
      <c r="D79" s="15"/>
      <c r="E79" s="15"/>
      <c r="F79" s="72"/>
      <c r="G79" s="96" t="s">
        <v>386</v>
      </c>
      <c r="H79" s="15"/>
      <c r="I79" s="15"/>
      <c r="J79" s="18"/>
      <c r="K79" s="15"/>
      <c r="L79" s="15"/>
      <c r="M79" s="15"/>
      <c r="N79" s="15" t="s">
        <v>30</v>
      </c>
      <c r="O79" s="32" t="s">
        <v>387</v>
      </c>
      <c r="P79" s="15"/>
      <c r="Q79" s="15"/>
      <c r="R79" s="15"/>
      <c r="S79" s="15"/>
      <c r="T79" s="15"/>
      <c r="U79" s="18"/>
      <c r="V79" s="15"/>
      <c r="W79" s="73"/>
      <c r="X79" s="18"/>
      <c r="Y79" s="15"/>
      <c r="Z79" s="314"/>
      <c r="AA79" s="18"/>
      <c r="AB79" s="15"/>
      <c r="AC79" s="18"/>
      <c r="AD79" s="18"/>
      <c r="AE79" s="328"/>
      <c r="AF79" s="15"/>
      <c r="AG79" s="314"/>
      <c r="AH79" s="18"/>
      <c r="AI79" s="18"/>
      <c r="AJ79" s="72"/>
      <c r="AK79" s="76"/>
      <c r="AL79" s="24"/>
      <c r="AM79" s="24"/>
      <c r="AN79" s="305"/>
      <c r="AO79" s="305"/>
      <c r="AP79" s="305"/>
      <c r="AQ79" s="305"/>
      <c r="AR79" s="305"/>
      <c r="AS79" s="305"/>
      <c r="AT79" s="305"/>
      <c r="AU79" s="305"/>
      <c r="AV79" s="305"/>
      <c r="AW79" s="305"/>
      <c r="AX79" s="334"/>
    </row>
    <row r="80" spans="1:50" s="69" customFormat="1" ht="15" customHeight="1">
      <c r="A80" s="73"/>
      <c r="B80" s="15"/>
      <c r="C80" s="15"/>
      <c r="D80" s="15"/>
      <c r="E80" s="15"/>
      <c r="F80" s="72"/>
      <c r="G80" s="18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8"/>
      <c r="V80" s="15"/>
      <c r="W80" s="73"/>
      <c r="X80" s="18"/>
      <c r="Y80" s="16"/>
      <c r="Z80" s="882"/>
      <c r="AA80" s="882"/>
      <c r="AB80" s="15"/>
      <c r="AC80" s="18"/>
      <c r="AD80" s="18"/>
      <c r="AE80" s="328"/>
      <c r="AF80" s="16"/>
      <c r="AG80" s="882"/>
      <c r="AH80" s="882"/>
      <c r="AI80" s="18"/>
      <c r="AJ80" s="72"/>
      <c r="AK80" s="68" t="s">
        <v>388</v>
      </c>
      <c r="AL80" s="352"/>
      <c r="AM80" s="352"/>
      <c r="AN80" s="353"/>
      <c r="AO80" s="353"/>
      <c r="AP80" s="353"/>
      <c r="AQ80" s="353"/>
      <c r="AR80" s="353"/>
      <c r="AS80" s="353"/>
      <c r="AT80" s="353"/>
      <c r="AU80" s="353"/>
      <c r="AV80" s="353"/>
      <c r="AW80" s="353"/>
      <c r="AX80" s="354"/>
    </row>
    <row r="81" spans="1:50" s="69" customFormat="1" ht="15" customHeight="1">
      <c r="A81" s="118"/>
      <c r="B81" s="117"/>
      <c r="C81" s="117"/>
      <c r="D81" s="117"/>
      <c r="E81" s="117"/>
      <c r="F81" s="114"/>
      <c r="G81" s="115"/>
      <c r="H81" s="117"/>
      <c r="I81" s="117"/>
      <c r="J81" s="117"/>
      <c r="K81" s="117"/>
      <c r="L81" s="117"/>
      <c r="M81" s="117"/>
      <c r="N81" s="117"/>
      <c r="O81" s="117"/>
      <c r="P81" s="117"/>
      <c r="Q81" s="117"/>
      <c r="R81" s="117"/>
      <c r="S81" s="117"/>
      <c r="T81" s="117"/>
      <c r="U81" s="115"/>
      <c r="V81" s="117"/>
      <c r="W81" s="118"/>
      <c r="X81" s="115"/>
      <c r="Y81" s="115"/>
      <c r="Z81" s="115"/>
      <c r="AA81" s="115"/>
      <c r="AB81" s="117"/>
      <c r="AC81" s="119"/>
      <c r="AD81" s="355"/>
      <c r="AE81" s="355"/>
      <c r="AF81" s="355"/>
      <c r="AG81" s="115"/>
      <c r="AH81" s="120"/>
      <c r="AI81" s="115"/>
      <c r="AJ81" s="114"/>
      <c r="AK81" s="883" t="s">
        <v>389</v>
      </c>
      <c r="AL81" s="883"/>
      <c r="AM81" s="883"/>
      <c r="AN81" s="884" t="s">
        <v>390</v>
      </c>
      <c r="AO81" s="884"/>
      <c r="AP81" s="884"/>
      <c r="AQ81" s="884"/>
      <c r="AR81" s="884"/>
      <c r="AS81" s="884"/>
      <c r="AT81" s="884"/>
      <c r="AU81" s="884"/>
      <c r="AV81" s="884"/>
      <c r="AW81" s="884"/>
      <c r="AX81" s="884"/>
    </row>
    <row r="82" spans="1:50" s="69" customFormat="1" ht="15" customHeight="1">
      <c r="A82" s="73" t="s">
        <v>391</v>
      </c>
      <c r="B82" s="15"/>
      <c r="C82" s="15"/>
      <c r="D82" s="15"/>
      <c r="E82" s="15"/>
      <c r="F82" s="72"/>
      <c r="G82" s="30" t="s">
        <v>392</v>
      </c>
      <c r="H82" s="18"/>
      <c r="I82" s="18"/>
      <c r="J82" s="18"/>
      <c r="K82" s="18"/>
      <c r="L82" s="18"/>
      <c r="M82" s="18"/>
      <c r="N82" s="15"/>
      <c r="O82" s="93"/>
      <c r="P82" s="93"/>
      <c r="Q82" s="18"/>
      <c r="R82" s="18"/>
      <c r="S82" s="18"/>
      <c r="T82" s="18"/>
      <c r="U82" s="18"/>
      <c r="V82" s="15"/>
      <c r="W82" s="68" t="s">
        <v>393</v>
      </c>
      <c r="X82" s="18"/>
      <c r="Y82" s="18"/>
      <c r="Z82" s="18"/>
      <c r="AA82" s="18"/>
      <c r="AB82" s="15"/>
      <c r="AC82" s="93"/>
      <c r="AD82" s="328"/>
      <c r="AE82" s="328"/>
      <c r="AF82" s="356"/>
      <c r="AG82" s="18"/>
      <c r="AH82" s="357"/>
      <c r="AI82" s="18"/>
      <c r="AJ82" s="72"/>
      <c r="AK82" s="885" t="s">
        <v>394</v>
      </c>
      <c r="AL82" s="885"/>
      <c r="AM82" s="885"/>
      <c r="AN82" s="887" t="s">
        <v>395</v>
      </c>
      <c r="AO82" s="887"/>
      <c r="AP82" s="887"/>
      <c r="AQ82" s="887"/>
      <c r="AR82" s="887"/>
      <c r="AS82" s="887"/>
      <c r="AT82" s="887"/>
      <c r="AU82" s="887"/>
      <c r="AV82" s="887"/>
      <c r="AW82" s="887"/>
      <c r="AX82" s="887"/>
    </row>
    <row r="83" spans="1:50" s="69" customFormat="1" ht="15" customHeight="1">
      <c r="A83" s="73" t="s">
        <v>396</v>
      </c>
      <c r="B83" s="15"/>
      <c r="C83" s="15"/>
      <c r="D83" s="15"/>
      <c r="E83" s="15"/>
      <c r="F83" s="72"/>
      <c r="G83" s="96" t="s">
        <v>397</v>
      </c>
      <c r="H83" s="96"/>
      <c r="I83" s="18"/>
      <c r="J83" s="18"/>
      <c r="K83" s="18"/>
      <c r="L83" s="18"/>
      <c r="M83" s="18"/>
      <c r="N83" s="15" t="s">
        <v>30</v>
      </c>
      <c r="O83" s="32" t="s">
        <v>398</v>
      </c>
      <c r="P83" s="32"/>
      <c r="Q83" s="32"/>
      <c r="R83" s="32"/>
      <c r="S83" s="32"/>
      <c r="T83" s="32"/>
      <c r="U83" s="32"/>
      <c r="V83" s="15"/>
      <c r="W83" s="184" t="s">
        <v>399</v>
      </c>
      <c r="X83" s="18"/>
      <c r="Y83" s="18"/>
      <c r="Z83" s="18"/>
      <c r="AA83" s="18"/>
      <c r="AB83" s="15" t="s">
        <v>30</v>
      </c>
      <c r="AC83" s="93" t="s">
        <v>400</v>
      </c>
      <c r="AD83" s="328"/>
      <c r="AE83" s="328"/>
      <c r="AF83" s="356"/>
      <c r="AG83" s="18"/>
      <c r="AH83" s="357"/>
      <c r="AI83" s="18"/>
      <c r="AJ83" s="18"/>
      <c r="AK83" s="885"/>
      <c r="AL83" s="885"/>
      <c r="AM83" s="885"/>
      <c r="AN83" s="887" t="s">
        <v>401</v>
      </c>
      <c r="AO83" s="887"/>
      <c r="AP83" s="887"/>
      <c r="AQ83" s="887"/>
      <c r="AR83" s="887"/>
      <c r="AS83" s="887"/>
      <c r="AT83" s="887"/>
      <c r="AU83" s="887"/>
      <c r="AV83" s="887"/>
      <c r="AW83" s="887"/>
      <c r="AX83" s="887"/>
    </row>
    <row r="84" spans="1:50" s="69" customFormat="1" ht="15" customHeight="1">
      <c r="A84" s="358"/>
      <c r="B84" s="165"/>
      <c r="C84" s="165"/>
      <c r="D84" s="165"/>
      <c r="E84" s="165"/>
      <c r="F84" s="166"/>
      <c r="G84" s="174"/>
      <c r="H84" s="174"/>
      <c r="I84" s="174"/>
      <c r="J84" s="174"/>
      <c r="K84" s="174"/>
      <c r="L84" s="174"/>
      <c r="M84" s="174"/>
      <c r="N84" s="174"/>
      <c r="O84" s="174"/>
      <c r="P84" s="174"/>
      <c r="Q84" s="174"/>
      <c r="R84" s="174"/>
      <c r="S84" s="174"/>
      <c r="T84" s="174"/>
      <c r="U84" s="174"/>
      <c r="V84" s="359"/>
      <c r="W84" s="174"/>
      <c r="X84" s="174"/>
      <c r="Y84" s="174"/>
      <c r="Z84" s="174"/>
      <c r="AA84" s="174"/>
      <c r="AB84" s="174"/>
      <c r="AC84" s="174"/>
      <c r="AD84" s="174"/>
      <c r="AE84" s="174"/>
      <c r="AF84" s="174"/>
      <c r="AG84" s="174"/>
      <c r="AH84" s="165"/>
      <c r="AI84" s="165"/>
      <c r="AJ84" s="165"/>
      <c r="AK84" s="886"/>
      <c r="AL84" s="886"/>
      <c r="AM84" s="886"/>
      <c r="AN84" s="888" t="s">
        <v>402</v>
      </c>
      <c r="AO84" s="888"/>
      <c r="AP84" s="888"/>
      <c r="AQ84" s="888"/>
      <c r="AR84" s="888"/>
      <c r="AS84" s="888"/>
      <c r="AT84" s="888"/>
      <c r="AU84" s="888"/>
      <c r="AV84" s="888"/>
      <c r="AW84" s="888"/>
      <c r="AX84" s="888"/>
    </row>
  </sheetData>
  <sheetProtection formatCells="0" selectLockedCells="1"/>
  <dataConsolidate/>
  <mergeCells count="230">
    <mergeCell ref="A4:AX4"/>
    <mergeCell ref="AW5:AX5"/>
    <mergeCell ref="AK6:AL10"/>
    <mergeCell ref="AM6:AN10"/>
    <mergeCell ref="AO6:AP10"/>
    <mergeCell ref="AQ6:AR10"/>
    <mergeCell ref="AS6:AT10"/>
    <mergeCell ref="AU6:AV10"/>
    <mergeCell ref="AW6:AX10"/>
    <mergeCell ref="A1:AU1"/>
    <mergeCell ref="A2:AT2"/>
    <mergeCell ref="A3:F3"/>
    <mergeCell ref="G3:V3"/>
    <mergeCell ref="W3:AJ3"/>
    <mergeCell ref="AK3:AX3"/>
    <mergeCell ref="AW14:AX14"/>
    <mergeCell ref="AB11:AE11"/>
    <mergeCell ref="AK11:AL11"/>
    <mergeCell ref="AM11:AN11"/>
    <mergeCell ref="AO11:AP11"/>
    <mergeCell ref="AQ11:AR11"/>
    <mergeCell ref="AU11:AV11"/>
    <mergeCell ref="AW11:AX11"/>
    <mergeCell ref="AK12:AL12"/>
    <mergeCell ref="AM12:AN12"/>
    <mergeCell ref="AO12:AP12"/>
    <mergeCell ref="AQ12:AR12"/>
    <mergeCell ref="AS12:AT12"/>
    <mergeCell ref="AU12:AV12"/>
    <mergeCell ref="AW12:AX12"/>
    <mergeCell ref="AS11:AT11"/>
    <mergeCell ref="AU13:AV13"/>
    <mergeCell ref="AW13:AX13"/>
    <mergeCell ref="Q14:R14"/>
    <mergeCell ref="S14:T14"/>
    <mergeCell ref="AK14:AL14"/>
    <mergeCell ref="AM14:AN14"/>
    <mergeCell ref="AO14:AP14"/>
    <mergeCell ref="AQ14:AR14"/>
    <mergeCell ref="AS14:AT14"/>
    <mergeCell ref="AU14:AV14"/>
    <mergeCell ref="U13:V13"/>
    <mergeCell ref="AK13:AL13"/>
    <mergeCell ref="AM13:AN13"/>
    <mergeCell ref="AO13:AP13"/>
    <mergeCell ref="AQ13:AR13"/>
    <mergeCell ref="AS13:AT13"/>
    <mergeCell ref="I17:S17"/>
    <mergeCell ref="AW18:AX18"/>
    <mergeCell ref="AK19:AL23"/>
    <mergeCell ref="AM19:AN23"/>
    <mergeCell ref="AO19:AP23"/>
    <mergeCell ref="AQ19:AR23"/>
    <mergeCell ref="AS19:AT23"/>
    <mergeCell ref="AU19:AV23"/>
    <mergeCell ref="AW19:AX23"/>
    <mergeCell ref="AK24:AL24"/>
    <mergeCell ref="AM24:AN24"/>
    <mergeCell ref="AO24:AP24"/>
    <mergeCell ref="AQ24:AR24"/>
    <mergeCell ref="AS24:AT24"/>
    <mergeCell ref="AK25:AL25"/>
    <mergeCell ref="AM25:AN25"/>
    <mergeCell ref="AO25:AP25"/>
    <mergeCell ref="AQ25:AR25"/>
    <mergeCell ref="AS25:AT25"/>
    <mergeCell ref="AQ27:AR27"/>
    <mergeCell ref="AS27:AT27"/>
    <mergeCell ref="AU27:AV27"/>
    <mergeCell ref="AW27:AX27"/>
    <mergeCell ref="AW24:AX24"/>
    <mergeCell ref="AU25:AV25"/>
    <mergeCell ref="AW25:AX25"/>
    <mergeCell ref="AU24:AV24"/>
    <mergeCell ref="AQ26:AR26"/>
    <mergeCell ref="AS26:AT26"/>
    <mergeCell ref="AU26:AV26"/>
    <mergeCell ref="AW26:AX26"/>
    <mergeCell ref="X27:AC27"/>
    <mergeCell ref="AE27:AF27"/>
    <mergeCell ref="AH27:AI27"/>
    <mergeCell ref="AK27:AL27"/>
    <mergeCell ref="AM27:AN27"/>
    <mergeCell ref="AO27:AP27"/>
    <mergeCell ref="X26:AC26"/>
    <mergeCell ref="AD26:AF26"/>
    <mergeCell ref="AG26:AI26"/>
    <mergeCell ref="AK26:AL26"/>
    <mergeCell ref="AM26:AN26"/>
    <mergeCell ref="AO26:AP26"/>
    <mergeCell ref="AH28:AI28"/>
    <mergeCell ref="L29:M29"/>
    <mergeCell ref="X29:AC29"/>
    <mergeCell ref="AE29:AF29"/>
    <mergeCell ref="AH29:AI29"/>
    <mergeCell ref="M37:N37"/>
    <mergeCell ref="Q37:R37"/>
    <mergeCell ref="M38:N38"/>
    <mergeCell ref="X28:AC28"/>
    <mergeCell ref="AE28:AF28"/>
    <mergeCell ref="M33:N33"/>
    <mergeCell ref="Q33:R33"/>
    <mergeCell ref="M34:N34"/>
    <mergeCell ref="Q34:R34"/>
    <mergeCell ref="M35:N35"/>
    <mergeCell ref="Q35:R35"/>
    <mergeCell ref="M36:N36"/>
    <mergeCell ref="Q36:R36"/>
    <mergeCell ref="H45:M45"/>
    <mergeCell ref="M39:N39"/>
    <mergeCell ref="M40:N40"/>
    <mergeCell ref="R48:S48"/>
    <mergeCell ref="H46:M46"/>
    <mergeCell ref="N46:O46"/>
    <mergeCell ref="P46:Q46"/>
    <mergeCell ref="R46:S46"/>
    <mergeCell ref="H48:M48"/>
    <mergeCell ref="N48:O48"/>
    <mergeCell ref="P48:Q48"/>
    <mergeCell ref="AW41:AX41"/>
    <mergeCell ref="M42:N42"/>
    <mergeCell ref="AK42:AL45"/>
    <mergeCell ref="AM42:AM45"/>
    <mergeCell ref="AN42:AN45"/>
    <mergeCell ref="AO42:AO45"/>
    <mergeCell ref="AP42:AP45"/>
    <mergeCell ref="AQ42:AQ45"/>
    <mergeCell ref="AR42:AR45"/>
    <mergeCell ref="AS42:AT45"/>
    <mergeCell ref="M41:N41"/>
    <mergeCell ref="AU42:AV45"/>
    <mergeCell ref="AW42:AX45"/>
    <mergeCell ref="H43:M43"/>
    <mergeCell ref="N45:O45"/>
    <mergeCell ref="P45:Q45"/>
    <mergeCell ref="R45:S45"/>
    <mergeCell ref="N43:S43"/>
    <mergeCell ref="AA43:AF43"/>
    <mergeCell ref="H44:M44"/>
    <mergeCell ref="N44:O44"/>
    <mergeCell ref="P44:Q44"/>
    <mergeCell ref="R44:S44"/>
    <mergeCell ref="W44:AJ53"/>
    <mergeCell ref="AK46:AL46"/>
    <mergeCell ref="AS46:AT46"/>
    <mergeCell ref="AU46:AV46"/>
    <mergeCell ref="AW46:AX46"/>
    <mergeCell ref="H47:M47"/>
    <mergeCell ref="N47:O47"/>
    <mergeCell ref="P47:Q47"/>
    <mergeCell ref="R47:S47"/>
    <mergeCell ref="P50:Q50"/>
    <mergeCell ref="R50:S50"/>
    <mergeCell ref="AS50:AT50"/>
    <mergeCell ref="AU50:AV50"/>
    <mergeCell ref="H49:M49"/>
    <mergeCell ref="N49:O49"/>
    <mergeCell ref="P49:Q49"/>
    <mergeCell ref="R49:S49"/>
    <mergeCell ref="AW50:AX50"/>
    <mergeCell ref="P51:Q51"/>
    <mergeCell ref="R51:S51"/>
    <mergeCell ref="H52:M52"/>
    <mergeCell ref="N52:O52"/>
    <mergeCell ref="P52:Q52"/>
    <mergeCell ref="R52:S52"/>
    <mergeCell ref="H50:M50"/>
    <mergeCell ref="N50:O50"/>
    <mergeCell ref="A59:AX59"/>
    <mergeCell ref="AA57:AB57"/>
    <mergeCell ref="H53:M53"/>
    <mergeCell ref="N53:O53"/>
    <mergeCell ref="P53:Q53"/>
    <mergeCell ref="R53:S53"/>
    <mergeCell ref="H51:M51"/>
    <mergeCell ref="N51:O51"/>
    <mergeCell ref="AK60:AX60"/>
    <mergeCell ref="AK62:AM62"/>
    <mergeCell ref="AX62:AX63"/>
    <mergeCell ref="K63:M63"/>
    <mergeCell ref="N63:Q63"/>
    <mergeCell ref="R63:T63"/>
    <mergeCell ref="AK63:AM63"/>
    <mergeCell ref="AK58:AX58"/>
    <mergeCell ref="W62:AJ62"/>
    <mergeCell ref="H73:J73"/>
    <mergeCell ref="L73:N73"/>
    <mergeCell ref="O73:Q73"/>
    <mergeCell ref="R73:T73"/>
    <mergeCell ref="H67:J67"/>
    <mergeCell ref="K67:M69"/>
    <mergeCell ref="R67:T69"/>
    <mergeCell ref="H68:J68"/>
    <mergeCell ref="AA68:AB68"/>
    <mergeCell ref="H69:J69"/>
    <mergeCell ref="AX70:AX71"/>
    <mergeCell ref="AK71:AM71"/>
    <mergeCell ref="AO71:AP71"/>
    <mergeCell ref="AU71:AV71"/>
    <mergeCell ref="Z63:AC63"/>
    <mergeCell ref="AF63:AH63"/>
    <mergeCell ref="AK70:AM70"/>
    <mergeCell ref="H72:J72"/>
    <mergeCell ref="L72:N72"/>
    <mergeCell ref="O72:Q72"/>
    <mergeCell ref="R72:T72"/>
    <mergeCell ref="AK68:AM68"/>
    <mergeCell ref="AX68:AX69"/>
    <mergeCell ref="AK69:AM69"/>
    <mergeCell ref="AK64:AM64"/>
    <mergeCell ref="AX64:AX65"/>
    <mergeCell ref="H65:J65"/>
    <mergeCell ref="AK65:AM65"/>
    <mergeCell ref="AO65:AP65"/>
    <mergeCell ref="AU65:AV65"/>
    <mergeCell ref="H64:J64"/>
    <mergeCell ref="N64:Q66"/>
    <mergeCell ref="H66:J66"/>
    <mergeCell ref="Z80:AA80"/>
    <mergeCell ref="AG80:AH80"/>
    <mergeCell ref="AK81:AM81"/>
    <mergeCell ref="AN81:AX81"/>
    <mergeCell ref="AK82:AM84"/>
    <mergeCell ref="AN82:AX82"/>
    <mergeCell ref="AN83:AX83"/>
    <mergeCell ref="AN84:AX84"/>
    <mergeCell ref="H74:J74"/>
    <mergeCell ref="L74:N74"/>
    <mergeCell ref="O74:Q74"/>
    <mergeCell ref="R74:T74"/>
  </mergeCells>
  <conditionalFormatting sqref="Z63">
    <cfRule type="containsText" dxfId="40" priority="13" stopIfTrue="1" operator="containsText" text="if other please specify">
      <formula>NOT(ISERROR(SEARCH("if other please specify",Z63)))</formula>
    </cfRule>
  </conditionalFormatting>
  <conditionalFormatting sqref="Z64:Z67">
    <cfRule type="containsBlanks" dxfId="39" priority="1" stopIfTrue="1">
      <formula>LEN(TRIM(Z64))=0</formula>
    </cfRule>
  </conditionalFormatting>
  <conditionalFormatting sqref="AE27:AF29">
    <cfRule type="containsBlanks" dxfId="38" priority="6" stopIfTrue="1">
      <formula>LEN(TRIM(AE27))=0</formula>
    </cfRule>
  </conditionalFormatting>
  <conditionalFormatting sqref="AF63:AH63">
    <cfRule type="containsText" dxfId="37" priority="12" stopIfTrue="1" operator="containsText" text="if other please specify">
      <formula>NOT(ISERROR(SEARCH("if other please specify",AF63)))</formula>
    </cfRule>
  </conditionalFormatting>
  <conditionalFormatting sqref="AG64:AG67">
    <cfRule type="containsBlanks" dxfId="36" priority="2" stopIfTrue="1">
      <formula>LEN(TRIM(AG64))=0</formula>
    </cfRule>
  </conditionalFormatting>
  <conditionalFormatting sqref="AH27:AI29">
    <cfRule type="containsBlanks" dxfId="35" priority="5" stopIfTrue="1">
      <formula>LEN(TRIM(AH27))=0</formula>
    </cfRule>
  </conditionalFormatting>
  <conditionalFormatting sqref="AI7 AM11:AN14 AM24:AN27 AC33 AK46:AL46">
    <cfRule type="containsBlanks" dxfId="34" priority="11" stopIfTrue="1">
      <formula>LEN(TRIM(AC7))=0</formula>
    </cfRule>
  </conditionalFormatting>
  <conditionalFormatting sqref="AS46:AT46">
    <cfRule type="containsBlanks" dxfId="33" priority="10" stopIfTrue="1">
      <formula>LEN(TRIM(AS46))=0</formula>
    </cfRule>
  </conditionalFormatting>
  <conditionalFormatting sqref="AW5">
    <cfRule type="containsText" dxfId="32" priority="9" stopIfTrue="1" operator="containsText" text="Unacceptable">
      <formula>NOT(ISERROR(SEARCH("Unacceptable",AW5)))</formula>
    </cfRule>
  </conditionalFormatting>
  <conditionalFormatting sqref="AW18">
    <cfRule type="containsText" dxfId="31" priority="8" stopIfTrue="1" operator="containsText" text="Unacceptable">
      <formula>NOT(ISERROR(SEARCH("Unacceptable",AW18)))</formula>
    </cfRule>
  </conditionalFormatting>
  <conditionalFormatting sqref="AW41">
    <cfRule type="containsText" dxfId="30" priority="7" stopIfTrue="1" operator="containsText" text="Unacceptable">
      <formula>NOT(ISERROR(SEARCH("Unacceptable",AW41)))</formula>
    </cfRule>
  </conditionalFormatting>
  <printOptions horizontalCentered="1"/>
  <pageMargins left="0.25" right="0.22" top="0.39370078740157499" bottom="0.23" header="0" footer="0"/>
  <pageSetup paperSize="9" scale="39" orientation="landscape" r:id="rId1"/>
  <headerFooter alignWithMargins="0">
    <oddHeader>&amp;LPELNG-F-MO.T2-0026 Rev. 00&amp;C&amp;REffective Date: 22/04/2026</oddHeader>
    <oddFooter>&amp;L&amp;C&amp;R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70A4B3-E872-4DD8-9BAA-0C028D10752C}">
  <dimension ref="A1:AU72"/>
  <sheetViews>
    <sheetView view="pageBreakPreview" topLeftCell="F19" zoomScale="46" zoomScaleNormal="70" zoomScaleSheetLayoutView="85" zoomScalePageLayoutView="47" workbookViewId="0">
      <selection activeCell="AI7" sqref="AI7:AU30"/>
    </sheetView>
  </sheetViews>
  <sheetFormatPr defaultColWidth="9.109375" defaultRowHeight="13.8"/>
  <cols>
    <col min="1" max="1" width="6.6640625" style="177" customWidth="1"/>
    <col min="2" max="5" width="6.6640625" style="15" customWidth="1"/>
    <col min="6" max="7" width="6.6640625" style="18" customWidth="1"/>
    <col min="8" max="8" width="7.6640625" style="18" customWidth="1"/>
    <col min="9" max="12" width="6.6640625" style="18" customWidth="1"/>
    <col min="13" max="13" width="7.6640625" style="18" customWidth="1"/>
    <col min="14" max="19" width="6.6640625" style="18" customWidth="1"/>
    <col min="20" max="20" width="6.6640625" style="15" customWidth="1"/>
    <col min="21" max="23" width="6.6640625" style="18" customWidth="1"/>
    <col min="24" max="24" width="9.5546875" style="18" customWidth="1"/>
    <col min="25" max="31" width="6.6640625" style="18" customWidth="1"/>
    <col min="32" max="34" width="6.6640625" style="15" customWidth="1"/>
    <col min="35" max="43" width="6.33203125" style="15" customWidth="1"/>
    <col min="44" max="44" width="8.33203125" style="15" customWidth="1"/>
    <col min="45" max="47" width="6.33203125" style="15" customWidth="1"/>
    <col min="48" max="51" width="9.109375" style="15" customWidth="1"/>
    <col min="52" max="16384" width="9.109375" style="15"/>
  </cols>
  <sheetData>
    <row r="1" spans="1:47" ht="24.9" customHeight="1">
      <c r="A1" s="830" t="s">
        <v>6</v>
      </c>
      <c r="B1" s="831"/>
      <c r="C1" s="831"/>
      <c r="D1" s="831"/>
      <c r="E1" s="831"/>
      <c r="F1" s="831"/>
      <c r="G1" s="831"/>
      <c r="H1" s="831"/>
      <c r="I1" s="831"/>
      <c r="J1" s="831"/>
      <c r="K1" s="831"/>
      <c r="L1" s="831"/>
      <c r="M1" s="831"/>
      <c r="N1" s="831"/>
      <c r="O1" s="831"/>
      <c r="P1" s="831"/>
      <c r="Q1" s="831"/>
      <c r="R1" s="831"/>
      <c r="S1" s="831"/>
      <c r="T1" s="831"/>
      <c r="U1" s="831"/>
      <c r="V1" s="831"/>
      <c r="W1" s="831"/>
      <c r="X1" s="831"/>
      <c r="Y1" s="831"/>
      <c r="Z1" s="831"/>
      <c r="AA1" s="831"/>
      <c r="AB1" s="831"/>
      <c r="AC1" s="831"/>
      <c r="AD1" s="831"/>
      <c r="AE1" s="831"/>
      <c r="AF1" s="831"/>
      <c r="AG1" s="831"/>
      <c r="AH1" s="831"/>
      <c r="AI1" s="831"/>
      <c r="AJ1" s="831"/>
      <c r="AK1" s="831"/>
      <c r="AL1" s="831"/>
      <c r="AM1" s="831"/>
      <c r="AN1" s="831"/>
      <c r="AO1" s="831"/>
      <c r="AP1" s="831"/>
      <c r="AQ1" s="831"/>
      <c r="AR1" s="832"/>
      <c r="AS1" s="6"/>
      <c r="AT1" s="7" t="s">
        <v>7</v>
      </c>
      <c r="AU1" s="8"/>
    </row>
    <row r="2" spans="1:47" ht="24.9" customHeight="1">
      <c r="A2" s="833"/>
      <c r="B2" s="834"/>
      <c r="C2" s="834"/>
      <c r="D2" s="834"/>
      <c r="E2" s="834"/>
      <c r="F2" s="834"/>
      <c r="G2" s="834"/>
      <c r="H2" s="834"/>
      <c r="I2" s="834"/>
      <c r="J2" s="834"/>
      <c r="K2" s="834"/>
      <c r="L2" s="834"/>
      <c r="M2" s="834"/>
      <c r="N2" s="834"/>
      <c r="O2" s="834"/>
      <c r="P2" s="834"/>
      <c r="Q2" s="834"/>
      <c r="R2" s="834"/>
      <c r="S2" s="834"/>
      <c r="T2" s="834"/>
      <c r="U2" s="834"/>
      <c r="V2" s="834"/>
      <c r="W2" s="834"/>
      <c r="X2" s="834"/>
      <c r="Y2" s="834"/>
      <c r="Z2" s="834"/>
      <c r="AA2" s="834"/>
      <c r="AB2" s="834"/>
      <c r="AC2" s="834"/>
      <c r="AD2" s="834"/>
      <c r="AE2" s="834"/>
      <c r="AF2" s="834"/>
      <c r="AG2" s="834"/>
      <c r="AH2" s="834"/>
      <c r="AI2" s="834"/>
      <c r="AJ2" s="834"/>
      <c r="AK2" s="834"/>
      <c r="AL2" s="834"/>
      <c r="AM2" s="834"/>
      <c r="AN2" s="834"/>
      <c r="AO2" s="834"/>
      <c r="AP2" s="834"/>
      <c r="AQ2" s="834"/>
      <c r="AR2" s="10"/>
      <c r="AS2" s="11"/>
      <c r="AT2" s="12" t="s">
        <v>403</v>
      </c>
      <c r="AU2" s="13"/>
    </row>
    <row r="3" spans="1:47" s="67" customFormat="1" ht="36.9" customHeight="1">
      <c r="A3" s="839" t="s">
        <v>114</v>
      </c>
      <c r="B3" s="840"/>
      <c r="C3" s="840"/>
      <c r="D3" s="840"/>
      <c r="E3" s="840"/>
      <c r="F3" s="1068"/>
      <c r="G3" s="1069" t="s">
        <v>115</v>
      </c>
      <c r="H3" s="840"/>
      <c r="I3" s="840"/>
      <c r="J3" s="840"/>
      <c r="K3" s="840"/>
      <c r="L3" s="840"/>
      <c r="M3" s="840"/>
      <c r="N3" s="840"/>
      <c r="O3" s="840"/>
      <c r="P3" s="840"/>
      <c r="Q3" s="840"/>
      <c r="R3" s="840"/>
      <c r="S3" s="840"/>
      <c r="T3" s="1068"/>
      <c r="U3" s="1069" t="s">
        <v>116</v>
      </c>
      <c r="V3" s="840"/>
      <c r="W3" s="840"/>
      <c r="X3" s="840"/>
      <c r="Y3" s="840"/>
      <c r="Z3" s="840"/>
      <c r="AA3" s="840"/>
      <c r="AB3" s="840"/>
      <c r="AC3" s="840"/>
      <c r="AD3" s="840"/>
      <c r="AE3" s="840"/>
      <c r="AF3" s="840"/>
      <c r="AG3" s="840"/>
      <c r="AH3" s="1068"/>
      <c r="AI3" s="839" t="s">
        <v>117</v>
      </c>
      <c r="AJ3" s="840"/>
      <c r="AK3" s="840"/>
      <c r="AL3" s="840"/>
      <c r="AM3" s="840"/>
      <c r="AN3" s="840"/>
      <c r="AO3" s="840"/>
      <c r="AP3" s="840"/>
      <c r="AQ3" s="840"/>
      <c r="AR3" s="840"/>
      <c r="AS3" s="840"/>
      <c r="AT3" s="840"/>
      <c r="AU3" s="1068"/>
    </row>
    <row r="4" spans="1:47" ht="15" customHeight="1">
      <c r="A4" s="870" t="s">
        <v>404</v>
      </c>
      <c r="B4" s="871"/>
      <c r="C4" s="871"/>
      <c r="D4" s="871"/>
      <c r="E4" s="871"/>
      <c r="F4" s="871"/>
      <c r="G4" s="871"/>
      <c r="H4" s="871"/>
      <c r="I4" s="871"/>
      <c r="J4" s="871"/>
      <c r="K4" s="871"/>
      <c r="L4" s="871"/>
      <c r="M4" s="871"/>
      <c r="N4" s="871"/>
      <c r="O4" s="871"/>
      <c r="P4" s="871"/>
      <c r="Q4" s="871"/>
      <c r="R4" s="871"/>
      <c r="S4" s="871"/>
      <c r="T4" s="871"/>
      <c r="U4" s="871"/>
      <c r="V4" s="871"/>
      <c r="W4" s="871"/>
      <c r="X4" s="871"/>
      <c r="Y4" s="871"/>
      <c r="Z4" s="871"/>
      <c r="AA4" s="871"/>
      <c r="AB4" s="871"/>
      <c r="AC4" s="871"/>
      <c r="AD4" s="871"/>
      <c r="AE4" s="871"/>
      <c r="AF4" s="871"/>
      <c r="AG4" s="871"/>
      <c r="AH4" s="871"/>
      <c r="AI4" s="871"/>
      <c r="AJ4" s="871"/>
      <c r="AK4" s="871"/>
      <c r="AL4" s="871"/>
      <c r="AM4" s="871"/>
      <c r="AN4" s="871"/>
      <c r="AO4" s="871"/>
      <c r="AP4" s="871"/>
      <c r="AQ4" s="871"/>
      <c r="AR4" s="871"/>
      <c r="AS4" s="871"/>
      <c r="AT4" s="871"/>
      <c r="AU4" s="968"/>
    </row>
    <row r="5" spans="1:47" ht="15" customHeight="1">
      <c r="A5" s="73"/>
      <c r="B5" s="18"/>
      <c r="C5" s="18"/>
      <c r="D5" s="18"/>
      <c r="E5" s="18"/>
      <c r="F5" s="72"/>
      <c r="H5" s="15"/>
      <c r="I5" s="15"/>
      <c r="J5" s="15"/>
      <c r="K5" s="1006"/>
      <c r="L5" s="1006"/>
      <c r="M5" s="1006"/>
      <c r="N5" s="1006"/>
      <c r="O5" s="1006"/>
      <c r="S5" s="16"/>
      <c r="U5" s="73"/>
      <c r="AA5" s="360" t="s">
        <v>405</v>
      </c>
      <c r="AI5" s="73"/>
      <c r="AJ5" s="30"/>
      <c r="AK5" s="18"/>
      <c r="AL5" s="18"/>
      <c r="AM5" s="18"/>
      <c r="AN5" s="18"/>
      <c r="AO5" s="18"/>
      <c r="AP5" s="18"/>
      <c r="AQ5" s="18"/>
      <c r="AU5" s="21"/>
    </row>
    <row r="6" spans="1:47" ht="15" customHeight="1">
      <c r="A6" s="73" t="s">
        <v>406</v>
      </c>
      <c r="F6" s="72"/>
      <c r="G6" s="30" t="s">
        <v>407</v>
      </c>
      <c r="H6" s="15"/>
      <c r="I6" s="15"/>
      <c r="J6" s="15"/>
      <c r="K6" s="861" t="s">
        <v>200</v>
      </c>
      <c r="L6" s="861"/>
      <c r="M6" s="861"/>
      <c r="N6" s="861"/>
      <c r="O6" s="861"/>
      <c r="P6" s="74"/>
      <c r="R6" s="78"/>
      <c r="S6" s="78"/>
      <c r="T6" s="16" t="s">
        <v>201</v>
      </c>
      <c r="U6" s="68" t="s">
        <v>408</v>
      </c>
      <c r="Z6" s="24" t="s">
        <v>200</v>
      </c>
      <c r="AA6" s="24"/>
      <c r="AB6" s="24"/>
      <c r="AC6" s="24"/>
      <c r="AD6" s="74"/>
      <c r="AE6" s="74"/>
      <c r="AF6" s="18"/>
      <c r="AG6" s="18"/>
      <c r="AH6" s="16" t="s">
        <v>201</v>
      </c>
      <c r="AI6" s="1116"/>
      <c r="AJ6" s="1117"/>
      <c r="AK6" s="1117"/>
      <c r="AL6" s="1117"/>
      <c r="AM6" s="1117"/>
      <c r="AN6" s="1117"/>
      <c r="AO6" s="1117"/>
      <c r="AP6" s="1117"/>
      <c r="AQ6" s="27"/>
      <c r="AU6" s="21"/>
    </row>
    <row r="7" spans="1:47" ht="15" customHeight="1">
      <c r="A7" s="73"/>
      <c r="F7" s="72"/>
      <c r="L7" s="361"/>
      <c r="M7" s="24"/>
      <c r="N7" s="1118">
        <v>18.5</v>
      </c>
      <c r="O7" s="1118"/>
      <c r="P7" s="74"/>
      <c r="R7" s="78"/>
      <c r="S7" s="78"/>
      <c r="U7" s="73"/>
      <c r="AC7" s="74"/>
      <c r="AD7" s="74"/>
      <c r="AE7" s="74"/>
      <c r="AF7" s="18"/>
      <c r="AG7" s="18"/>
      <c r="AH7" s="18"/>
      <c r="AI7" s="1126"/>
      <c r="AJ7" s="1127"/>
      <c r="AK7" s="1127"/>
      <c r="AL7" s="1127"/>
      <c r="AM7" s="1127"/>
      <c r="AN7" s="1127"/>
      <c r="AO7" s="1127"/>
      <c r="AP7" s="1127"/>
      <c r="AQ7" s="1127"/>
      <c r="AR7" s="1127"/>
      <c r="AS7" s="1127"/>
      <c r="AT7" s="1127"/>
      <c r="AU7" s="1128"/>
    </row>
    <row r="8" spans="1:47" ht="15" customHeight="1">
      <c r="A8" s="73"/>
      <c r="F8" s="72"/>
      <c r="P8" s="74"/>
      <c r="R8" s="78"/>
      <c r="S8" s="78"/>
      <c r="U8" s="73"/>
      <c r="AC8" s="74"/>
      <c r="AD8" s="74"/>
      <c r="AE8" s="74"/>
      <c r="AF8" s="18"/>
      <c r="AG8" s="18"/>
      <c r="AH8" s="18"/>
      <c r="AI8" s="1129"/>
      <c r="AJ8" s="1127"/>
      <c r="AK8" s="1127"/>
      <c r="AL8" s="1127"/>
      <c r="AM8" s="1127"/>
      <c r="AN8" s="1127"/>
      <c r="AO8" s="1127"/>
      <c r="AP8" s="1127"/>
      <c r="AQ8" s="1127"/>
      <c r="AR8" s="1127"/>
      <c r="AS8" s="1127"/>
      <c r="AT8" s="1127"/>
      <c r="AU8" s="1128"/>
    </row>
    <row r="9" spans="1:47" ht="15" customHeight="1">
      <c r="A9" s="73"/>
      <c r="F9" s="72"/>
      <c r="P9" s="16"/>
      <c r="R9" s="15"/>
      <c r="S9" s="15"/>
      <c r="U9" s="73"/>
      <c r="AC9" s="74"/>
      <c r="AD9" s="74"/>
      <c r="AE9" s="74"/>
      <c r="AF9" s="18"/>
      <c r="AG9" s="18"/>
      <c r="AH9" s="18"/>
      <c r="AI9" s="1129"/>
      <c r="AJ9" s="1127"/>
      <c r="AK9" s="1127"/>
      <c r="AL9" s="1127"/>
      <c r="AM9" s="1127"/>
      <c r="AN9" s="1127"/>
      <c r="AO9" s="1127"/>
      <c r="AP9" s="1127"/>
      <c r="AQ9" s="1127"/>
      <c r="AR9" s="1127"/>
      <c r="AS9" s="1127"/>
      <c r="AT9" s="1127"/>
      <c r="AU9" s="1128"/>
    </row>
    <row r="10" spans="1:47" ht="15" customHeight="1">
      <c r="A10" s="73"/>
      <c r="G10" s="73"/>
      <c r="T10" s="21"/>
      <c r="AB10" s="328"/>
      <c r="AC10" s="328"/>
      <c r="AD10" s="356"/>
      <c r="AF10" s="357"/>
      <c r="AG10" s="18"/>
      <c r="AH10" s="18"/>
      <c r="AI10" s="1129"/>
      <c r="AJ10" s="1127"/>
      <c r="AK10" s="1127"/>
      <c r="AL10" s="1127"/>
      <c r="AM10" s="1127"/>
      <c r="AN10" s="1127"/>
      <c r="AO10" s="1127"/>
      <c r="AP10" s="1127"/>
      <c r="AQ10" s="1127"/>
      <c r="AR10" s="1127"/>
      <c r="AS10" s="1127"/>
      <c r="AT10" s="1127"/>
      <c r="AU10" s="1128"/>
    </row>
    <row r="11" spans="1:47" ht="15" customHeight="1">
      <c r="A11" s="73"/>
      <c r="G11" s="73"/>
      <c r="T11" s="21"/>
      <c r="AB11" s="328"/>
      <c r="AC11" s="328"/>
      <c r="AD11" s="356"/>
      <c r="AF11" s="357"/>
      <c r="AG11" s="18"/>
      <c r="AH11" s="18"/>
      <c r="AI11" s="1129"/>
      <c r="AJ11" s="1127"/>
      <c r="AK11" s="1127"/>
      <c r="AL11" s="1127"/>
      <c r="AM11" s="1127"/>
      <c r="AN11" s="1127"/>
      <c r="AO11" s="1127"/>
      <c r="AP11" s="1127"/>
      <c r="AQ11" s="1127"/>
      <c r="AR11" s="1127"/>
      <c r="AS11" s="1127"/>
      <c r="AT11" s="1127"/>
      <c r="AU11" s="1128"/>
    </row>
    <row r="12" spans="1:47" ht="15" customHeight="1">
      <c r="A12" s="73"/>
      <c r="G12" s="73"/>
      <c r="T12" s="21"/>
      <c r="AB12" s="328"/>
      <c r="AC12" s="328"/>
      <c r="AD12" s="356"/>
      <c r="AF12" s="357"/>
      <c r="AG12" s="18"/>
      <c r="AH12" s="18"/>
      <c r="AI12" s="1129"/>
      <c r="AJ12" s="1127"/>
      <c r="AK12" s="1127"/>
      <c r="AL12" s="1127"/>
      <c r="AM12" s="1127"/>
      <c r="AN12" s="1127"/>
      <c r="AO12" s="1127"/>
      <c r="AP12" s="1127"/>
      <c r="AQ12" s="1127"/>
      <c r="AR12" s="1127"/>
      <c r="AS12" s="1127"/>
      <c r="AT12" s="1127"/>
      <c r="AU12" s="1128"/>
    </row>
    <row r="13" spans="1:47" ht="15" customHeight="1">
      <c r="A13" s="73"/>
      <c r="G13" s="73"/>
      <c r="T13" s="21"/>
      <c r="Z13" s="861"/>
      <c r="AA13" s="861"/>
      <c r="AB13" s="861"/>
      <c r="AC13" s="861"/>
      <c r="AD13" s="356"/>
      <c r="AF13" s="357"/>
      <c r="AG13" s="18"/>
      <c r="AH13" s="18"/>
      <c r="AI13" s="1129"/>
      <c r="AJ13" s="1127"/>
      <c r="AK13" s="1127"/>
      <c r="AL13" s="1127"/>
      <c r="AM13" s="1127"/>
      <c r="AN13" s="1127"/>
      <c r="AO13" s="1127"/>
      <c r="AP13" s="1127"/>
      <c r="AQ13" s="1127"/>
      <c r="AR13" s="1127"/>
      <c r="AS13" s="1127"/>
      <c r="AT13" s="1127"/>
      <c r="AU13" s="1128"/>
    </row>
    <row r="14" spans="1:47" ht="15" customHeight="1">
      <c r="A14" s="73"/>
      <c r="G14" s="73"/>
      <c r="T14" s="21"/>
      <c r="AB14" s="328"/>
      <c r="AC14" s="328"/>
      <c r="AD14" s="356"/>
      <c r="AF14" s="357"/>
      <c r="AG14" s="18"/>
      <c r="AH14" s="18"/>
      <c r="AI14" s="1129"/>
      <c r="AJ14" s="1127"/>
      <c r="AK14" s="1127"/>
      <c r="AL14" s="1127"/>
      <c r="AM14" s="1127"/>
      <c r="AN14" s="1127"/>
      <c r="AO14" s="1127"/>
      <c r="AP14" s="1127"/>
      <c r="AQ14" s="1127"/>
      <c r="AR14" s="1127"/>
      <c r="AS14" s="1127"/>
      <c r="AT14" s="1127"/>
      <c r="AU14" s="1128"/>
    </row>
    <row r="15" spans="1:47" ht="15" customHeight="1">
      <c r="A15" s="73"/>
      <c r="G15" s="73"/>
      <c r="K15" s="362">
        <v>4.5</v>
      </c>
      <c r="S15" s="363" t="s">
        <v>409</v>
      </c>
      <c r="T15" s="72"/>
      <c r="AB15" s="328"/>
      <c r="AC15" s="328"/>
      <c r="AD15" s="356"/>
      <c r="AF15" s="357"/>
      <c r="AG15" s="363" t="s">
        <v>409</v>
      </c>
      <c r="AH15" s="18"/>
      <c r="AI15" s="1129"/>
      <c r="AJ15" s="1127"/>
      <c r="AK15" s="1127"/>
      <c r="AL15" s="1127"/>
      <c r="AM15" s="1127"/>
      <c r="AN15" s="1127"/>
      <c r="AO15" s="1127"/>
      <c r="AP15" s="1127"/>
      <c r="AQ15" s="1127"/>
      <c r="AR15" s="1127"/>
      <c r="AS15" s="1127"/>
      <c r="AT15" s="1127"/>
      <c r="AU15" s="1128"/>
    </row>
    <row r="16" spans="1:47" ht="15" customHeight="1">
      <c r="A16" s="73"/>
      <c r="G16" s="73"/>
      <c r="P16" s="15"/>
      <c r="Q16" s="15"/>
      <c r="R16" s="15"/>
      <c r="S16" s="1119" t="s">
        <v>410</v>
      </c>
      <c r="T16" s="1120"/>
      <c r="AC16" s="364"/>
      <c r="AD16" s="364"/>
      <c r="AF16" s="357"/>
      <c r="AG16" s="363" t="s">
        <v>410</v>
      </c>
      <c r="AH16" s="365"/>
      <c r="AI16" s="1129"/>
      <c r="AJ16" s="1127"/>
      <c r="AK16" s="1127"/>
      <c r="AL16" s="1127"/>
      <c r="AM16" s="1127"/>
      <c r="AN16" s="1127"/>
      <c r="AO16" s="1127"/>
      <c r="AP16" s="1127"/>
      <c r="AQ16" s="1127"/>
      <c r="AR16" s="1127"/>
      <c r="AS16" s="1127"/>
      <c r="AT16" s="1127"/>
      <c r="AU16" s="1128"/>
    </row>
    <row r="17" spans="1:47" ht="15" customHeight="1">
      <c r="A17" s="73"/>
      <c r="G17" s="73"/>
      <c r="H17" s="1115"/>
      <c r="I17" s="1115"/>
      <c r="L17" s="32" t="s">
        <v>411</v>
      </c>
      <c r="P17" s="15"/>
      <c r="R17" s="15"/>
      <c r="T17" s="21"/>
      <c r="W17" s="24"/>
      <c r="X17" s="24"/>
      <c r="Y17" s="24"/>
      <c r="AA17" s="16"/>
      <c r="AC17" s="1121" t="s">
        <v>412</v>
      </c>
      <c r="AD17" s="1122"/>
      <c r="AF17" s="357"/>
      <c r="AG17" s="18"/>
      <c r="AH17" s="18"/>
      <c r="AI17" s="1129"/>
      <c r="AJ17" s="1127"/>
      <c r="AK17" s="1127"/>
      <c r="AL17" s="1127"/>
      <c r="AM17" s="1127"/>
      <c r="AN17" s="1127"/>
      <c r="AO17" s="1127"/>
      <c r="AP17" s="1127"/>
      <c r="AQ17" s="1127"/>
      <c r="AR17" s="1127"/>
      <c r="AS17" s="1127"/>
      <c r="AT17" s="1127"/>
      <c r="AU17" s="1128"/>
    </row>
    <row r="18" spans="1:47" ht="15" customHeight="1">
      <c r="A18" s="73"/>
      <c r="G18" s="73"/>
      <c r="H18" s="96"/>
      <c r="K18" s="866"/>
      <c r="L18" s="866"/>
      <c r="M18" s="866"/>
      <c r="Q18" s="15"/>
      <c r="R18" s="15"/>
      <c r="T18" s="21"/>
      <c r="AA18" s="16"/>
      <c r="AC18" s="1123"/>
      <c r="AD18" s="1124"/>
      <c r="AF18" s="357"/>
      <c r="AG18" s="18"/>
      <c r="AH18" s="18"/>
      <c r="AI18" s="1129"/>
      <c r="AJ18" s="1127"/>
      <c r="AK18" s="1127"/>
      <c r="AL18" s="1127"/>
      <c r="AM18" s="1127"/>
      <c r="AN18" s="1127"/>
      <c r="AO18" s="1127"/>
      <c r="AP18" s="1127"/>
      <c r="AQ18" s="1127"/>
      <c r="AR18" s="1127"/>
      <c r="AS18" s="1127"/>
      <c r="AT18" s="1127"/>
      <c r="AU18" s="1128"/>
    </row>
    <row r="19" spans="1:47" ht="15" customHeight="1">
      <c r="A19" s="73"/>
      <c r="G19" s="73"/>
      <c r="J19" s="15"/>
      <c r="K19" s="15" t="s">
        <v>413</v>
      </c>
      <c r="L19" s="15"/>
      <c r="M19" s="15"/>
      <c r="N19" s="15"/>
      <c r="O19" s="15"/>
      <c r="U19" s="73"/>
      <c r="V19" s="15" t="s">
        <v>413</v>
      </c>
      <c r="W19" s="24"/>
      <c r="X19" s="24"/>
      <c r="Y19" s="24"/>
      <c r="Z19" s="24"/>
      <c r="AA19" s="16"/>
      <c r="AC19" s="356"/>
      <c r="AD19" s="356"/>
      <c r="AF19" s="357"/>
      <c r="AG19" s="18"/>
      <c r="AH19" s="18"/>
      <c r="AI19" s="1129"/>
      <c r="AJ19" s="1127"/>
      <c r="AK19" s="1127"/>
      <c r="AL19" s="1127"/>
      <c r="AM19" s="1127"/>
      <c r="AN19" s="1127"/>
      <c r="AO19" s="1127"/>
      <c r="AP19" s="1127"/>
      <c r="AQ19" s="1127"/>
      <c r="AR19" s="1127"/>
      <c r="AS19" s="1127"/>
      <c r="AT19" s="1127"/>
      <c r="AU19" s="1128"/>
    </row>
    <row r="20" spans="1:47" ht="15" customHeight="1">
      <c r="A20" s="73"/>
      <c r="B20" s="18"/>
      <c r="C20" s="18"/>
      <c r="D20" s="18"/>
      <c r="E20" s="18"/>
      <c r="F20" s="72"/>
      <c r="G20" s="118"/>
      <c r="H20" s="115"/>
      <c r="I20" s="115"/>
      <c r="J20" s="115"/>
      <c r="K20" s="1125"/>
      <c r="L20" s="1125"/>
      <c r="M20" s="115"/>
      <c r="N20" s="115"/>
      <c r="O20" s="115"/>
      <c r="P20" s="115"/>
      <c r="Q20" s="115"/>
      <c r="R20" s="115"/>
      <c r="S20" s="115"/>
      <c r="T20" s="117"/>
      <c r="U20" s="73"/>
      <c r="W20" s="24"/>
      <c r="X20" s="24"/>
      <c r="Y20" s="24"/>
      <c r="Z20" s="24"/>
      <c r="AH20" s="21"/>
      <c r="AI20" s="1129"/>
      <c r="AJ20" s="1127"/>
      <c r="AK20" s="1127"/>
      <c r="AL20" s="1127"/>
      <c r="AM20" s="1127"/>
      <c r="AN20" s="1127"/>
      <c r="AO20" s="1127"/>
      <c r="AP20" s="1127"/>
      <c r="AQ20" s="1127"/>
      <c r="AR20" s="1127"/>
      <c r="AS20" s="1127"/>
      <c r="AT20" s="1127"/>
      <c r="AU20" s="1128"/>
    </row>
    <row r="21" spans="1:47" ht="15" customHeight="1">
      <c r="A21" s="73"/>
      <c r="F21" s="72"/>
      <c r="G21" s="30" t="s">
        <v>414</v>
      </c>
      <c r="U21" s="73"/>
      <c r="W21" s="24"/>
      <c r="X21" s="24"/>
      <c r="Y21" s="24"/>
      <c r="Z21" s="24"/>
      <c r="AI21" s="1129"/>
      <c r="AJ21" s="1127"/>
      <c r="AK21" s="1127"/>
      <c r="AL21" s="1127"/>
      <c r="AM21" s="1127"/>
      <c r="AN21" s="1127"/>
      <c r="AO21" s="1127"/>
      <c r="AP21" s="1127"/>
      <c r="AQ21" s="1127"/>
      <c r="AR21" s="1127"/>
      <c r="AS21" s="1127"/>
      <c r="AT21" s="1127"/>
      <c r="AU21" s="1128"/>
    </row>
    <row r="22" spans="1:47" ht="15" customHeight="1">
      <c r="A22" s="73"/>
      <c r="F22" s="72"/>
      <c r="G22" s="18" t="s">
        <v>415</v>
      </c>
      <c r="K22" s="15" t="s">
        <v>30</v>
      </c>
      <c r="L22" s="32" t="s">
        <v>416</v>
      </c>
      <c r="M22" s="32"/>
      <c r="U22" s="184"/>
      <c r="V22" s="15"/>
      <c r="W22" s="24"/>
      <c r="X22" s="24"/>
      <c r="Y22" s="24"/>
      <c r="Z22" s="24"/>
      <c r="AI22" s="1129"/>
      <c r="AJ22" s="1127"/>
      <c r="AK22" s="1127"/>
      <c r="AL22" s="1127"/>
      <c r="AM22" s="1127"/>
      <c r="AN22" s="1127"/>
      <c r="AO22" s="1127"/>
      <c r="AP22" s="1127"/>
      <c r="AQ22" s="1127"/>
      <c r="AR22" s="1127"/>
      <c r="AS22" s="1127"/>
      <c r="AT22" s="1127"/>
      <c r="AU22" s="1128"/>
    </row>
    <row r="23" spans="1:47" ht="15" customHeight="1">
      <c r="A23" s="73"/>
      <c r="F23" s="72"/>
      <c r="G23" s="18" t="s">
        <v>417</v>
      </c>
      <c r="K23" s="15" t="s">
        <v>30</v>
      </c>
      <c r="L23" s="32" t="s">
        <v>418</v>
      </c>
      <c r="M23" s="32"/>
      <c r="N23" s="1115"/>
      <c r="O23" s="1115"/>
      <c r="P23" s="1115"/>
      <c r="Q23" s="1115"/>
      <c r="R23" s="1115"/>
      <c r="S23" s="1115"/>
      <c r="U23" s="366" t="s">
        <v>419</v>
      </c>
      <c r="V23" s="15"/>
      <c r="W23" s="15" t="s">
        <v>30</v>
      </c>
      <c r="X23" s="367"/>
      <c r="Y23" s="24" t="s">
        <v>90</v>
      </c>
      <c r="AA23" s="368" t="s">
        <v>420</v>
      </c>
      <c r="AB23" s="988" t="str">
        <f>IF(AND((X26-X25)&gt;=0.6,(X24-X23)&gt;=2.45),"Acceptable","**Unacceptable**")</f>
        <v>**Unacceptable**</v>
      </c>
      <c r="AC23" s="1076"/>
      <c r="AD23" s="989"/>
      <c r="AE23" s="369"/>
      <c r="AF23" s="369"/>
      <c r="AI23" s="1129"/>
      <c r="AJ23" s="1127"/>
      <c r="AK23" s="1127"/>
      <c r="AL23" s="1127"/>
      <c r="AM23" s="1127"/>
      <c r="AN23" s="1127"/>
      <c r="AO23" s="1127"/>
      <c r="AP23" s="1127"/>
      <c r="AQ23" s="1127"/>
      <c r="AR23" s="1127"/>
      <c r="AS23" s="1127"/>
      <c r="AT23" s="1127"/>
      <c r="AU23" s="1128"/>
    </row>
    <row r="24" spans="1:47" ht="15" customHeight="1">
      <c r="A24" s="73"/>
      <c r="F24" s="72"/>
      <c r="G24" s="18" t="s">
        <v>421</v>
      </c>
      <c r="H24" s="96"/>
      <c r="K24" s="15" t="s">
        <v>30</v>
      </c>
      <c r="L24" s="32" t="s">
        <v>422</v>
      </c>
      <c r="M24" s="32"/>
      <c r="U24" s="366" t="s">
        <v>423</v>
      </c>
      <c r="V24" s="15"/>
      <c r="W24" s="15" t="s">
        <v>30</v>
      </c>
      <c r="X24" s="370"/>
      <c r="Y24" s="18" t="s">
        <v>90</v>
      </c>
      <c r="Z24" s="24"/>
      <c r="AA24" s="369"/>
      <c r="AB24" s="369"/>
      <c r="AC24" s="369"/>
      <c r="AD24" s="369"/>
      <c r="AE24" s="369"/>
      <c r="AF24" s="369"/>
      <c r="AI24" s="1129"/>
      <c r="AJ24" s="1127"/>
      <c r="AK24" s="1127"/>
      <c r="AL24" s="1127"/>
      <c r="AM24" s="1127"/>
      <c r="AN24" s="1127"/>
      <c r="AO24" s="1127"/>
      <c r="AP24" s="1127"/>
      <c r="AQ24" s="1127"/>
      <c r="AR24" s="1127"/>
      <c r="AS24" s="1127"/>
      <c r="AT24" s="1127"/>
      <c r="AU24" s="1128"/>
    </row>
    <row r="25" spans="1:47" ht="15" customHeight="1">
      <c r="A25" s="73"/>
      <c r="F25" s="72"/>
      <c r="G25" s="18" t="s">
        <v>424</v>
      </c>
      <c r="H25" s="96"/>
      <c r="K25" s="15" t="s">
        <v>30</v>
      </c>
      <c r="L25" s="32" t="s">
        <v>425</v>
      </c>
      <c r="M25" s="32"/>
      <c r="N25" s="32" t="s">
        <v>426</v>
      </c>
      <c r="U25" s="366" t="s">
        <v>427</v>
      </c>
      <c r="V25" s="15"/>
      <c r="W25" s="15" t="s">
        <v>30</v>
      </c>
      <c r="X25" s="370"/>
      <c r="Y25" s="24" t="s">
        <v>90</v>
      </c>
      <c r="Z25" s="24"/>
      <c r="AA25" s="109"/>
      <c r="AB25" s="109" t="s">
        <v>428</v>
      </c>
      <c r="AC25" s="109"/>
      <c r="AD25" s="109"/>
      <c r="AE25" s="369"/>
      <c r="AF25" s="369"/>
      <c r="AI25" s="1129"/>
      <c r="AJ25" s="1127"/>
      <c r="AK25" s="1127"/>
      <c r="AL25" s="1127"/>
      <c r="AM25" s="1127"/>
      <c r="AN25" s="1127"/>
      <c r="AO25" s="1127"/>
      <c r="AP25" s="1127"/>
      <c r="AQ25" s="1127"/>
      <c r="AR25" s="1127"/>
      <c r="AS25" s="1127"/>
      <c r="AT25" s="1127"/>
      <c r="AU25" s="1128"/>
    </row>
    <row r="26" spans="1:47" ht="15" customHeight="1">
      <c r="A26" s="73"/>
      <c r="F26" s="72"/>
      <c r="G26" s="18" t="s">
        <v>429</v>
      </c>
      <c r="H26" s="96"/>
      <c r="K26" s="15" t="s">
        <v>30</v>
      </c>
      <c r="L26" s="18" t="s">
        <v>430</v>
      </c>
      <c r="N26" s="93"/>
      <c r="O26" s="205">
        <v>10</v>
      </c>
      <c r="P26" s="32"/>
      <c r="Q26" s="93"/>
      <c r="R26" s="93"/>
      <c r="S26" s="93"/>
      <c r="U26" s="366" t="s">
        <v>431</v>
      </c>
      <c r="V26" s="15"/>
      <c r="W26" s="15" t="s">
        <v>30</v>
      </c>
      <c r="X26" s="370"/>
      <c r="Y26" s="24" t="s">
        <v>90</v>
      </c>
      <c r="Z26" s="24"/>
      <c r="AA26" s="369"/>
      <c r="AB26" s="109"/>
      <c r="AC26" s="371" t="s">
        <v>432</v>
      </c>
      <c r="AD26" s="110" t="s">
        <v>30</v>
      </c>
      <c r="AE26" s="372">
        <f>X24-X23</f>
        <v>0</v>
      </c>
      <c r="AF26" s="369" t="s">
        <v>90</v>
      </c>
      <c r="AI26" s="1129"/>
      <c r="AJ26" s="1127"/>
      <c r="AK26" s="1127"/>
      <c r="AL26" s="1127"/>
      <c r="AM26" s="1127"/>
      <c r="AN26" s="1127"/>
      <c r="AO26" s="1127"/>
      <c r="AP26" s="1127"/>
      <c r="AQ26" s="1127"/>
      <c r="AR26" s="1127"/>
      <c r="AS26" s="1127"/>
      <c r="AT26" s="1127"/>
      <c r="AU26" s="1128"/>
    </row>
    <row r="27" spans="1:47" ht="15" customHeight="1">
      <c r="A27" s="73"/>
      <c r="F27" s="72"/>
      <c r="H27" s="96"/>
      <c r="K27" s="15" t="s">
        <v>30</v>
      </c>
      <c r="L27" s="18" t="s">
        <v>433</v>
      </c>
      <c r="N27" s="93"/>
      <c r="O27" s="205">
        <v>20</v>
      </c>
      <c r="P27" s="97"/>
      <c r="Q27" s="93"/>
      <c r="R27" s="93"/>
      <c r="S27" s="93"/>
      <c r="U27" s="73"/>
      <c r="W27" s="24"/>
      <c r="X27" s="24"/>
      <c r="Y27" s="24"/>
      <c r="Z27" s="24"/>
      <c r="AA27" s="109"/>
      <c r="AB27" s="109"/>
      <c r="AC27" s="371" t="s">
        <v>434</v>
      </c>
      <c r="AD27" s="110" t="s">
        <v>30</v>
      </c>
      <c r="AE27" s="372">
        <f>X26-X25</f>
        <v>0</v>
      </c>
      <c r="AF27" s="109" t="s">
        <v>90</v>
      </c>
      <c r="AI27" s="1129"/>
      <c r="AJ27" s="1127"/>
      <c r="AK27" s="1127"/>
      <c r="AL27" s="1127"/>
      <c r="AM27" s="1127"/>
      <c r="AN27" s="1127"/>
      <c r="AO27" s="1127"/>
      <c r="AP27" s="1127"/>
      <c r="AQ27" s="1127"/>
      <c r="AR27" s="1127"/>
      <c r="AS27" s="1127"/>
      <c r="AT27" s="1127"/>
      <c r="AU27" s="1128"/>
    </row>
    <row r="28" spans="1:47" ht="15" customHeight="1">
      <c r="A28" s="73"/>
      <c r="F28" s="72"/>
      <c r="H28" s="96"/>
      <c r="K28" s="15" t="s">
        <v>30</v>
      </c>
      <c r="L28" s="18" t="s">
        <v>435</v>
      </c>
      <c r="N28" s="93"/>
      <c r="O28" s="80">
        <v>15</v>
      </c>
      <c r="P28" s="93"/>
      <c r="Q28" s="93"/>
      <c r="R28" s="93"/>
      <c r="S28" s="93"/>
      <c r="U28" s="73"/>
      <c r="AI28" s="1129"/>
      <c r="AJ28" s="1127"/>
      <c r="AK28" s="1127"/>
      <c r="AL28" s="1127"/>
      <c r="AM28" s="1127"/>
      <c r="AN28" s="1127"/>
      <c r="AO28" s="1127"/>
      <c r="AP28" s="1127"/>
      <c r="AQ28" s="1127"/>
      <c r="AR28" s="1127"/>
      <c r="AS28" s="1127"/>
      <c r="AT28" s="1127"/>
      <c r="AU28" s="1128"/>
    </row>
    <row r="29" spans="1:47" ht="15" customHeight="1">
      <c r="A29" s="73"/>
      <c r="F29" s="72"/>
      <c r="H29" s="96"/>
      <c r="K29" s="15" t="s">
        <v>30</v>
      </c>
      <c r="L29" s="18" t="s">
        <v>436</v>
      </c>
      <c r="N29" s="93"/>
      <c r="O29" s="80">
        <v>7.3</v>
      </c>
      <c r="P29" s="93"/>
      <c r="Q29" s="93"/>
      <c r="R29" s="93"/>
      <c r="S29" s="93"/>
      <c r="U29" s="73"/>
      <c r="AI29" s="1129"/>
      <c r="AJ29" s="1127"/>
      <c r="AK29" s="1127"/>
      <c r="AL29" s="1127"/>
      <c r="AM29" s="1127"/>
      <c r="AN29" s="1127"/>
      <c r="AO29" s="1127"/>
      <c r="AP29" s="1127"/>
      <c r="AQ29" s="1127"/>
      <c r="AR29" s="1127"/>
      <c r="AS29" s="1127"/>
      <c r="AT29" s="1127"/>
      <c r="AU29" s="1128"/>
    </row>
    <row r="30" spans="1:47" ht="15" customHeight="1">
      <c r="A30" s="73"/>
      <c r="F30" s="72"/>
      <c r="H30" s="15"/>
      <c r="I30" s="15"/>
      <c r="J30" s="15"/>
      <c r="K30" s="15"/>
      <c r="L30" s="15"/>
      <c r="U30" s="73"/>
      <c r="AI30" s="1130"/>
      <c r="AJ30" s="1131"/>
      <c r="AK30" s="1131"/>
      <c r="AL30" s="1131"/>
      <c r="AM30" s="1131"/>
      <c r="AN30" s="1131"/>
      <c r="AO30" s="1131"/>
      <c r="AP30" s="1131"/>
      <c r="AQ30" s="1131"/>
      <c r="AR30" s="1131"/>
      <c r="AS30" s="1131"/>
      <c r="AT30" s="1131"/>
      <c r="AU30" s="1132"/>
    </row>
    <row r="31" spans="1:47" ht="15" customHeight="1">
      <c r="A31" s="118"/>
      <c r="B31" s="117"/>
      <c r="C31" s="117"/>
      <c r="D31" s="117"/>
      <c r="E31" s="117"/>
      <c r="F31" s="114"/>
      <c r="G31" s="117"/>
      <c r="H31" s="117"/>
      <c r="I31" s="117"/>
      <c r="J31" s="117"/>
      <c r="K31" s="117"/>
      <c r="L31" s="117"/>
      <c r="M31" s="117"/>
      <c r="N31" s="117"/>
      <c r="O31" s="115"/>
      <c r="P31" s="115"/>
      <c r="Q31" s="115"/>
      <c r="R31" s="115"/>
      <c r="S31" s="115"/>
      <c r="T31" s="117"/>
      <c r="U31" s="118"/>
      <c r="V31" s="373"/>
      <c r="W31" s="115"/>
      <c r="X31" s="115"/>
      <c r="Y31" s="115"/>
      <c r="Z31" s="115"/>
      <c r="AA31" s="115"/>
      <c r="AB31" s="115"/>
      <c r="AC31" s="115"/>
      <c r="AD31" s="115"/>
      <c r="AE31" s="115"/>
      <c r="AF31" s="117"/>
      <c r="AG31" s="117"/>
      <c r="AH31" s="122"/>
      <c r="AI31" s="374"/>
      <c r="AJ31" s="375"/>
      <c r="AK31" s="375"/>
      <c r="AL31" s="375"/>
      <c r="AM31" s="375"/>
      <c r="AN31" s="375"/>
      <c r="AO31" s="375"/>
      <c r="AP31" s="375"/>
      <c r="AQ31" s="375"/>
      <c r="AR31" s="375"/>
      <c r="AS31" s="375"/>
      <c r="AT31" s="375"/>
      <c r="AU31" s="376"/>
    </row>
    <row r="32" spans="1:47" ht="15" customHeight="1">
      <c r="A32" s="182" t="s">
        <v>437</v>
      </c>
      <c r="F32" s="72"/>
      <c r="G32" s="30" t="s">
        <v>438</v>
      </c>
      <c r="T32" s="16" t="s">
        <v>201</v>
      </c>
      <c r="U32" s="68" t="s">
        <v>439</v>
      </c>
      <c r="AH32" s="16" t="s">
        <v>201</v>
      </c>
      <c r="AI32" s="68" t="s">
        <v>440</v>
      </c>
      <c r="AJ32" s="27"/>
      <c r="AK32" s="27"/>
      <c r="AL32" s="27"/>
      <c r="AM32" s="27"/>
      <c r="AN32" s="27"/>
      <c r="AU32" s="21"/>
    </row>
    <row r="33" spans="1:47" ht="15" customHeight="1">
      <c r="A33" s="184" t="s">
        <v>441</v>
      </c>
      <c r="F33" s="72"/>
      <c r="G33" s="96" t="s">
        <v>442</v>
      </c>
      <c r="U33" s="184" t="s">
        <v>443</v>
      </c>
      <c r="V33" s="30"/>
      <c r="AF33" s="18"/>
      <c r="AI33" s="76"/>
      <c r="AL33" s="18"/>
      <c r="AU33" s="21"/>
    </row>
    <row r="34" spans="1:47" ht="15" customHeight="1">
      <c r="A34" s="73"/>
      <c r="F34" s="72"/>
      <c r="G34" s="15"/>
      <c r="H34" s="15"/>
      <c r="I34" s="15"/>
      <c r="J34" s="15"/>
      <c r="K34" s="15"/>
      <c r="L34" s="15"/>
      <c r="U34" s="73"/>
      <c r="V34" s="30"/>
      <c r="AB34" s="1112" t="s">
        <v>444</v>
      </c>
      <c r="AC34" s="1113"/>
      <c r="AD34" s="1113"/>
      <c r="AE34" s="1113"/>
      <c r="AF34" s="1113"/>
      <c r="AG34" s="1114"/>
      <c r="AI34" s="76"/>
      <c r="AP34" s="1112" t="s">
        <v>444</v>
      </c>
      <c r="AQ34" s="1113"/>
      <c r="AR34" s="1113"/>
      <c r="AS34" s="1113"/>
      <c r="AT34" s="1113"/>
      <c r="AU34" s="1114"/>
    </row>
    <row r="35" spans="1:47" ht="15" customHeight="1">
      <c r="A35" s="73"/>
      <c r="F35" s="72"/>
      <c r="G35" s="15"/>
      <c r="H35" s="954" t="s">
        <v>445</v>
      </c>
      <c r="I35" s="955"/>
      <c r="J35" s="955"/>
      <c r="K35" s="956"/>
      <c r="L35" s="954" t="s">
        <v>446</v>
      </c>
      <c r="M35" s="955"/>
      <c r="N35" s="956"/>
      <c r="O35" s="377"/>
      <c r="P35" s="954" t="s">
        <v>447</v>
      </c>
      <c r="Q35" s="955"/>
      <c r="R35" s="954" t="s">
        <v>362</v>
      </c>
      <c r="S35" s="956"/>
      <c r="U35" s="73"/>
      <c r="V35" s="1090" t="s">
        <v>176</v>
      </c>
      <c r="W35" s="1090"/>
      <c r="X35" s="1090"/>
      <c r="Y35" s="1090"/>
      <c r="Z35" s="1090"/>
      <c r="AA35" s="607"/>
      <c r="AB35" s="1110">
        <f>'page 1'!AD29</f>
        <v>0</v>
      </c>
      <c r="AC35" s="1110"/>
      <c r="AD35" s="1110"/>
      <c r="AE35" s="1110"/>
      <c r="AF35" s="1110"/>
      <c r="AG35" s="1110"/>
      <c r="AI35" s="76"/>
      <c r="AJ35" s="1090" t="s">
        <v>448</v>
      </c>
      <c r="AK35" s="1090"/>
      <c r="AL35" s="1090"/>
      <c r="AM35" s="1090"/>
      <c r="AN35" s="1090"/>
      <c r="AO35" s="378"/>
      <c r="AP35" s="1110">
        <f>'page 1'!AD41</f>
        <v>0</v>
      </c>
      <c r="AQ35" s="1110"/>
      <c r="AR35" s="1110"/>
      <c r="AS35" s="1110"/>
      <c r="AT35" s="1110"/>
      <c r="AU35" s="1110"/>
    </row>
    <row r="36" spans="1:47" ht="15" customHeight="1">
      <c r="A36" s="73"/>
      <c r="F36" s="72"/>
      <c r="H36" s="1091" t="s">
        <v>449</v>
      </c>
      <c r="I36" s="1092"/>
      <c r="J36" s="1092"/>
      <c r="K36" s="1092"/>
      <c r="L36" s="1083" t="s">
        <v>450</v>
      </c>
      <c r="M36" s="1084"/>
      <c r="N36" s="1085"/>
      <c r="O36" s="200">
        <v>1</v>
      </c>
      <c r="P36" s="1103">
        <v>22.7</v>
      </c>
      <c r="Q36" s="1104"/>
      <c r="R36" s="1088"/>
      <c r="S36" s="1089"/>
      <c r="T36" s="380"/>
      <c r="U36" s="73"/>
      <c r="V36" s="1090" t="s">
        <v>451</v>
      </c>
      <c r="W36" s="1090"/>
      <c r="X36" s="1090"/>
      <c r="Y36" s="1090"/>
      <c r="Z36" s="1090"/>
      <c r="AA36" s="607">
        <v>5</v>
      </c>
      <c r="AB36" s="1111">
        <f>'page 1'!AD33</f>
        <v>0</v>
      </c>
      <c r="AC36" s="1111"/>
      <c r="AD36" s="1111"/>
      <c r="AE36" s="1111"/>
      <c r="AF36" s="1111"/>
      <c r="AG36" s="1111"/>
      <c r="AH36" s="270"/>
      <c r="AI36" s="76"/>
      <c r="AJ36" s="1090" t="s">
        <v>452</v>
      </c>
      <c r="AK36" s="1090"/>
      <c r="AL36" s="1090"/>
      <c r="AM36" s="1090"/>
      <c r="AN36" s="1090"/>
      <c r="AO36" s="378"/>
      <c r="AP36" s="1110">
        <f>'page 1'!AD42</f>
        <v>0</v>
      </c>
      <c r="AQ36" s="1110"/>
      <c r="AR36" s="1110"/>
      <c r="AS36" s="1110"/>
      <c r="AT36" s="1110"/>
      <c r="AU36" s="1110"/>
    </row>
    <row r="37" spans="1:47" ht="15" customHeight="1">
      <c r="A37" s="73"/>
      <c r="F37" s="72"/>
      <c r="H37" s="1093"/>
      <c r="I37" s="1094"/>
      <c r="J37" s="1094"/>
      <c r="K37" s="1094"/>
      <c r="L37" s="1083" t="s">
        <v>453</v>
      </c>
      <c r="M37" s="1084"/>
      <c r="N37" s="1085"/>
      <c r="O37" s="200">
        <v>2</v>
      </c>
      <c r="P37" s="1103">
        <v>12.1</v>
      </c>
      <c r="Q37" s="1104"/>
      <c r="R37" s="1088"/>
      <c r="S37" s="1089"/>
      <c r="T37" s="270"/>
      <c r="U37" s="73"/>
      <c r="V37" s="1090" t="s">
        <v>454</v>
      </c>
      <c r="W37" s="1090"/>
      <c r="X37" s="1090"/>
      <c r="Y37" s="1090"/>
      <c r="Z37" s="1090"/>
      <c r="AA37" s="607">
        <v>6</v>
      </c>
      <c r="AB37" s="1110">
        <f>'page 1'!AD34</f>
        <v>0</v>
      </c>
      <c r="AC37" s="1110"/>
      <c r="AD37" s="1110"/>
      <c r="AE37" s="1110"/>
      <c r="AF37" s="1110"/>
      <c r="AG37" s="1110"/>
      <c r="AH37" s="270"/>
      <c r="AI37" s="76"/>
      <c r="AJ37" s="1093" t="s">
        <v>455</v>
      </c>
      <c r="AK37" s="1094"/>
      <c r="AL37" s="1094"/>
      <c r="AM37" s="1094"/>
      <c r="AN37" s="1094"/>
      <c r="AO37" s="1105"/>
      <c r="AP37" s="1106" t="s">
        <v>456</v>
      </c>
      <c r="AQ37" s="1106"/>
      <c r="AR37" s="1106"/>
      <c r="AS37" s="1095" t="s">
        <v>454</v>
      </c>
      <c r="AT37" s="1095"/>
      <c r="AU37" s="1095"/>
    </row>
    <row r="38" spans="1:47" ht="15" customHeight="1">
      <c r="A38" s="73"/>
      <c r="F38" s="72"/>
      <c r="H38" s="1091" t="s">
        <v>457</v>
      </c>
      <c r="I38" s="1092"/>
      <c r="J38" s="1092"/>
      <c r="K38" s="1092"/>
      <c r="L38" s="1083" t="s">
        <v>450</v>
      </c>
      <c r="M38" s="1084"/>
      <c r="N38" s="1085"/>
      <c r="O38" s="200">
        <v>3</v>
      </c>
      <c r="P38" s="1103">
        <v>3.5</v>
      </c>
      <c r="Q38" s="1104"/>
      <c r="R38" s="1088"/>
      <c r="S38" s="1089"/>
      <c r="T38" s="270"/>
      <c r="U38" s="73"/>
      <c r="V38" s="1093" t="s">
        <v>458</v>
      </c>
      <c r="W38" s="1094"/>
      <c r="X38" s="1094"/>
      <c r="Y38" s="1094"/>
      <c r="Z38" s="1094"/>
      <c r="AA38" s="1105"/>
      <c r="AB38" s="1106" t="s">
        <v>459</v>
      </c>
      <c r="AC38" s="1106"/>
      <c r="AD38" s="1106"/>
      <c r="AE38" s="1095" t="s">
        <v>460</v>
      </c>
      <c r="AF38" s="1095"/>
      <c r="AG38" s="1095"/>
      <c r="AH38" s="270"/>
      <c r="AI38" s="76"/>
      <c r="AJ38" s="1096" t="s">
        <v>461</v>
      </c>
      <c r="AK38" s="1097"/>
      <c r="AL38" s="1097"/>
      <c r="AM38" s="1097"/>
      <c r="AN38" s="1098"/>
      <c r="AO38" s="200" t="s">
        <v>623</v>
      </c>
      <c r="AP38" s="1099">
        <f>AP35-'page 1'!AD33</f>
        <v>0</v>
      </c>
      <c r="AQ38" s="1100"/>
      <c r="AR38" s="1101"/>
      <c r="AS38" s="1099">
        <f>AP35-'page 1'!AD34</f>
        <v>0</v>
      </c>
      <c r="AT38" s="1100"/>
      <c r="AU38" s="1101"/>
    </row>
    <row r="39" spans="1:47" ht="15" customHeight="1">
      <c r="A39" s="73"/>
      <c r="F39" s="72"/>
      <c r="H39" s="1093"/>
      <c r="I39" s="1094"/>
      <c r="J39" s="1094"/>
      <c r="K39" s="1094"/>
      <c r="L39" s="1083" t="s">
        <v>453</v>
      </c>
      <c r="M39" s="1084"/>
      <c r="N39" s="1085"/>
      <c r="O39" s="200">
        <v>4</v>
      </c>
      <c r="P39" s="1103">
        <v>0.5</v>
      </c>
      <c r="Q39" s="1104"/>
      <c r="R39" s="1088"/>
      <c r="S39" s="1089"/>
      <c r="T39" s="270"/>
      <c r="U39" s="73"/>
      <c r="V39" s="1107" t="s">
        <v>462</v>
      </c>
      <c r="W39" s="1108"/>
      <c r="X39" s="1108"/>
      <c r="Y39" s="1108"/>
      <c r="Z39" s="1109"/>
      <c r="AA39" s="379"/>
      <c r="AB39" s="1102">
        <f>P36-(AB35-AB36+P38)</f>
        <v>19.2</v>
      </c>
      <c r="AC39" s="1100"/>
      <c r="AD39" s="1101"/>
      <c r="AE39" s="1102">
        <f>AB39-0.5</f>
        <v>18.7</v>
      </c>
      <c r="AF39" s="1100"/>
      <c r="AG39" s="1101"/>
      <c r="AH39" s="270"/>
      <c r="AI39" s="381"/>
      <c r="AJ39" s="1079" t="s">
        <v>463</v>
      </c>
      <c r="AK39" s="1079"/>
      <c r="AL39" s="1079"/>
      <c r="AM39" s="1079"/>
      <c r="AN39" s="1079"/>
      <c r="AO39" s="607" t="s">
        <v>626</v>
      </c>
      <c r="AP39" s="1080">
        <f>AP36-'page 1'!AD33</f>
        <v>0</v>
      </c>
      <c r="AQ39" s="1081"/>
      <c r="AR39" s="1081"/>
      <c r="AS39" s="1082">
        <f>AP36-'page 1'!AD34</f>
        <v>0</v>
      </c>
      <c r="AT39" s="1081"/>
      <c r="AU39" s="1081"/>
    </row>
    <row r="40" spans="1:47" ht="15" customHeight="1">
      <c r="A40" s="73"/>
      <c r="B40" s="18"/>
      <c r="C40" s="18"/>
      <c r="D40" s="18"/>
      <c r="E40" s="18"/>
      <c r="F40" s="72"/>
      <c r="H40" s="1083" t="s">
        <v>464</v>
      </c>
      <c r="I40" s="1084"/>
      <c r="J40" s="1084"/>
      <c r="K40" s="1084"/>
      <c r="L40" s="1084"/>
      <c r="M40" s="1084"/>
      <c r="N40" s="1085"/>
      <c r="O40" s="378"/>
      <c r="P40" s="1086">
        <v>0.5</v>
      </c>
      <c r="Q40" s="1087"/>
      <c r="R40" s="1088"/>
      <c r="S40" s="1089"/>
      <c r="U40" s="73"/>
      <c r="V40" s="1090" t="s">
        <v>465</v>
      </c>
      <c r="W40" s="1090"/>
      <c r="X40" s="1090"/>
      <c r="Y40" s="1090"/>
      <c r="Z40" s="1090"/>
      <c r="AA40" s="378"/>
      <c r="AB40" s="1081">
        <f>(AB35-AB37)-P37</f>
        <v>-12.1</v>
      </c>
      <c r="AC40" s="1081"/>
      <c r="AD40" s="1081"/>
      <c r="AE40" s="1081">
        <f>AB40-0.5</f>
        <v>-12.6</v>
      </c>
      <c r="AF40" s="1081"/>
      <c r="AG40" s="1081"/>
      <c r="AI40" s="76"/>
      <c r="AJ40" s="1075" t="s">
        <v>466</v>
      </c>
      <c r="AK40" s="1075"/>
      <c r="AL40" s="1075"/>
      <c r="AM40" s="1075"/>
      <c r="AN40" s="1075"/>
      <c r="AO40" s="988" t="str">
        <f>IF(OR(AP38&gt;7.6,AS38&gt;7.6,AS38&lt;3.6),"**Unacceptable**","Acceptable")</f>
        <v>**Unacceptable**</v>
      </c>
      <c r="AP40" s="1076"/>
      <c r="AQ40" s="1076"/>
      <c r="AR40" s="1076"/>
      <c r="AS40" s="1076"/>
      <c r="AT40" s="1076"/>
      <c r="AU40" s="989"/>
    </row>
    <row r="41" spans="1:47" ht="15" customHeight="1">
      <c r="A41" s="73"/>
      <c r="B41" s="18"/>
      <c r="C41" s="18"/>
      <c r="D41" s="18"/>
      <c r="E41" s="18"/>
      <c r="F41" s="72"/>
      <c r="N41" s="226"/>
      <c r="O41" s="15"/>
      <c r="P41" s="15"/>
      <c r="Q41" s="290"/>
      <c r="R41" s="290"/>
      <c r="S41" s="290"/>
      <c r="U41" s="73"/>
      <c r="V41" s="1075" t="s">
        <v>420</v>
      </c>
      <c r="W41" s="1075"/>
      <c r="X41" s="1075"/>
      <c r="Y41" s="1075"/>
      <c r="Z41" s="1075"/>
      <c r="AA41" s="988" t="str">
        <f>IF(OR(AB39&lt;0.3,AE39&lt;0.3,AB40&lt;0.3,AE40&lt;0.3),"**Unacceptable**","Acceptable")</f>
        <v>**Unacceptable**</v>
      </c>
      <c r="AB41" s="1076"/>
      <c r="AC41" s="1076"/>
      <c r="AD41" s="1076"/>
      <c r="AE41" s="1076"/>
      <c r="AF41" s="1076"/>
      <c r="AG41" s="989"/>
      <c r="AI41" s="73"/>
      <c r="AJ41" s="1075" t="s">
        <v>467</v>
      </c>
      <c r="AK41" s="1075"/>
      <c r="AL41" s="1075"/>
      <c r="AM41" s="1075"/>
      <c r="AN41" s="1075"/>
      <c r="AO41" s="988" t="str">
        <f>IF(OR(AP39&gt;7.6,AS39&gt;7.6,AS39&lt;3.6),"**Unacceptable**","Acceptable")</f>
        <v>**Unacceptable**</v>
      </c>
      <c r="AP41" s="1076"/>
      <c r="AQ41" s="1076"/>
      <c r="AR41" s="1076"/>
      <c r="AS41" s="1076"/>
      <c r="AT41" s="1076"/>
      <c r="AU41" s="989"/>
    </row>
    <row r="42" spans="1:47" ht="15" customHeight="1">
      <c r="A42" s="73"/>
      <c r="B42" s="18"/>
      <c r="C42" s="18"/>
      <c r="D42" s="18"/>
      <c r="E42" s="18"/>
      <c r="F42" s="72"/>
      <c r="H42" s="93"/>
      <c r="I42" s="93"/>
      <c r="J42" s="93"/>
      <c r="K42" s="93"/>
      <c r="L42" s="93"/>
      <c r="M42" s="93"/>
      <c r="N42" s="93"/>
      <c r="O42" s="93"/>
      <c r="P42" s="93"/>
      <c r="Q42" s="93"/>
      <c r="U42" s="73"/>
      <c r="Y42" s="382"/>
      <c r="Z42" s="201"/>
      <c r="AA42" s="383"/>
      <c r="AB42" s="24"/>
      <c r="AC42" s="24"/>
      <c r="AD42" s="24"/>
      <c r="AE42" s="24"/>
      <c r="AF42" s="24"/>
      <c r="AG42" s="24"/>
      <c r="AH42" s="270"/>
      <c r="AI42" s="73"/>
      <c r="AJ42" s="18"/>
      <c r="AK42" s="96"/>
      <c r="AL42" s="96"/>
      <c r="AM42" s="18"/>
      <c r="AN42" s="18"/>
      <c r="AO42" s="18"/>
      <c r="AP42" s="18"/>
      <c r="AQ42" s="18"/>
      <c r="AU42" s="21"/>
    </row>
    <row r="43" spans="1:47" ht="15" customHeight="1">
      <c r="A43" s="73"/>
      <c r="B43" s="18"/>
      <c r="C43" s="18"/>
      <c r="D43" s="18"/>
      <c r="E43" s="18"/>
      <c r="F43" s="72"/>
      <c r="H43" s="1078" t="s">
        <v>468</v>
      </c>
      <c r="I43" s="1078"/>
      <c r="J43" s="384"/>
      <c r="K43" s="384"/>
      <c r="L43" s="384"/>
      <c r="M43" s="384"/>
      <c r="N43" s="384"/>
      <c r="O43" s="384"/>
      <c r="P43" s="385"/>
      <c r="Q43" s="384"/>
      <c r="R43" s="386"/>
      <c r="U43" s="73"/>
      <c r="V43" s="1078" t="s">
        <v>468</v>
      </c>
      <c r="W43" s="1078"/>
      <c r="Y43" s="382"/>
      <c r="Z43" s="201"/>
      <c r="AA43" s="383"/>
      <c r="AB43" s="24"/>
      <c r="AC43" s="24"/>
      <c r="AD43" s="24"/>
      <c r="AE43" s="24"/>
      <c r="AF43" s="24"/>
      <c r="AG43" s="24"/>
      <c r="AH43" s="270"/>
      <c r="AI43" s="73"/>
      <c r="AJ43" s="18"/>
      <c r="AK43" s="96"/>
      <c r="AL43" s="96"/>
      <c r="AM43" s="18"/>
      <c r="AN43" s="18"/>
      <c r="AO43" s="18"/>
      <c r="AP43" s="18"/>
      <c r="AQ43" s="18"/>
      <c r="AU43" s="21"/>
    </row>
    <row r="44" spans="1:47" ht="15" customHeight="1">
      <c r="A44" s="73"/>
      <c r="B44" s="18"/>
      <c r="C44" s="18"/>
      <c r="D44" s="18"/>
      <c r="E44" s="18"/>
      <c r="F44" s="72"/>
      <c r="G44" s="1077" t="s">
        <v>469</v>
      </c>
      <c r="H44" s="384"/>
      <c r="I44" s="384"/>
      <c r="J44" s="384"/>
      <c r="K44" s="384"/>
      <c r="L44" s="384"/>
      <c r="M44" s="384"/>
      <c r="N44" s="384"/>
      <c r="O44" s="384"/>
      <c r="P44" s="384"/>
      <c r="Q44" s="384"/>
      <c r="U44" s="1077" t="s">
        <v>469</v>
      </c>
      <c r="AB44" s="96"/>
      <c r="AI44" s="73"/>
      <c r="AJ44" s="18"/>
      <c r="AK44" s="18"/>
      <c r="AL44" s="18"/>
      <c r="AM44" s="18"/>
      <c r="AN44" s="18"/>
      <c r="AO44" s="18"/>
      <c r="AP44" s="18"/>
      <c r="AQ44" s="18"/>
      <c r="AU44" s="21"/>
    </row>
    <row r="45" spans="1:47" ht="15" customHeight="1">
      <c r="A45" s="73"/>
      <c r="B45" s="18"/>
      <c r="C45" s="18"/>
      <c r="D45" s="18"/>
      <c r="E45" s="18"/>
      <c r="F45" s="72"/>
      <c r="G45" s="1077"/>
      <c r="H45" s="387"/>
      <c r="I45" s="384"/>
      <c r="J45" s="384"/>
      <c r="K45" s="384"/>
      <c r="L45" s="384"/>
      <c r="M45" s="384"/>
      <c r="N45" s="384"/>
      <c r="O45" s="384"/>
      <c r="P45" s="384"/>
      <c r="Q45" s="384"/>
      <c r="U45" s="1077"/>
      <c r="Y45" s="15"/>
      <c r="Z45" s="15"/>
      <c r="AA45" s="15"/>
      <c r="AB45" s="15"/>
      <c r="AI45" s="73"/>
      <c r="AJ45" s="30"/>
      <c r="AK45" s="18"/>
      <c r="AL45" s="18"/>
      <c r="AM45" s="18"/>
      <c r="AN45" s="18"/>
      <c r="AO45" s="18"/>
      <c r="AP45" s="18"/>
      <c r="AQ45" s="18"/>
      <c r="AR45" s="18"/>
      <c r="AU45" s="21"/>
    </row>
    <row r="46" spans="1:47" ht="15" customHeight="1">
      <c r="A46" s="73"/>
      <c r="B46" s="18"/>
      <c r="C46" s="18"/>
      <c r="D46" s="18"/>
      <c r="E46" s="18"/>
      <c r="F46" s="72"/>
      <c r="G46" s="1077"/>
      <c r="H46" s="384"/>
      <c r="I46" s="384"/>
      <c r="J46" s="388"/>
      <c r="K46" s="389"/>
      <c r="L46" s="389"/>
      <c r="M46" s="384"/>
      <c r="N46" s="384"/>
      <c r="O46" s="384"/>
      <c r="P46" s="384"/>
      <c r="Q46" s="384"/>
      <c r="U46" s="1077"/>
      <c r="Y46" s="15"/>
      <c r="Z46" s="15"/>
      <c r="AA46" s="15"/>
      <c r="AI46" s="73"/>
      <c r="AJ46" s="18"/>
      <c r="AK46" s="18"/>
      <c r="AL46" s="18"/>
      <c r="AM46" s="18"/>
      <c r="AN46" s="18"/>
      <c r="AO46" s="18"/>
      <c r="AP46" s="18"/>
      <c r="AQ46" s="18"/>
      <c r="AR46" s="18"/>
      <c r="AU46" s="21"/>
    </row>
    <row r="47" spans="1:47" ht="15" customHeight="1">
      <c r="A47" s="73"/>
      <c r="F47" s="72"/>
      <c r="G47" s="1077"/>
      <c r="H47" s="384"/>
      <c r="I47" s="384"/>
      <c r="J47" s="384"/>
      <c r="K47" s="389"/>
      <c r="L47" s="389"/>
      <c r="M47" s="384"/>
      <c r="N47" s="384"/>
      <c r="O47" s="384"/>
      <c r="P47" s="384"/>
      <c r="Q47" s="384"/>
      <c r="U47" s="1077"/>
      <c r="AI47" s="390"/>
      <c r="AJ47" s="18"/>
      <c r="AK47" s="18"/>
      <c r="AL47" s="18"/>
      <c r="AM47" s="18"/>
      <c r="AN47" s="18"/>
      <c r="AO47" s="18"/>
      <c r="AP47" s="18"/>
      <c r="AQ47" s="18"/>
      <c r="AR47" s="18"/>
      <c r="AU47" s="21"/>
    </row>
    <row r="48" spans="1:47" ht="15" customHeight="1">
      <c r="A48" s="73"/>
      <c r="F48" s="72"/>
      <c r="G48" s="1077"/>
      <c r="H48" s="1078"/>
      <c r="I48" s="1078"/>
      <c r="J48" s="391"/>
      <c r="K48" s="392"/>
      <c r="L48" s="392"/>
      <c r="M48" s="384"/>
      <c r="N48" s="384"/>
      <c r="O48" s="384"/>
      <c r="P48" s="384"/>
      <c r="U48" s="1077"/>
      <c r="AI48" s="390"/>
      <c r="AJ48" s="18"/>
      <c r="AK48" s="18"/>
      <c r="AL48" s="18"/>
      <c r="AM48" s="18"/>
      <c r="AN48" s="18"/>
      <c r="AO48" s="18"/>
      <c r="AP48" s="18"/>
      <c r="AQ48" s="18"/>
      <c r="AR48" s="18"/>
      <c r="AU48" s="21"/>
    </row>
    <row r="49" spans="1:47" ht="15" customHeight="1">
      <c r="A49" s="73"/>
      <c r="F49" s="72"/>
      <c r="G49" s="1077"/>
      <c r="H49" s="384"/>
      <c r="I49" s="384"/>
      <c r="J49" s="384"/>
      <c r="K49" s="386"/>
      <c r="L49" s="386"/>
      <c r="M49" s="384"/>
      <c r="N49" s="384"/>
      <c r="O49" s="384"/>
      <c r="P49" s="384"/>
      <c r="U49" s="1077"/>
      <c r="V49" s="94"/>
      <c r="W49" s="393"/>
      <c r="Z49" s="393"/>
      <c r="AI49" s="390"/>
      <c r="AJ49" s="18"/>
      <c r="AK49" s="393"/>
      <c r="AL49" s="18"/>
      <c r="AM49" s="18"/>
      <c r="AN49" s="18"/>
      <c r="AO49" s="393"/>
      <c r="AP49" s="18"/>
      <c r="AQ49" s="18"/>
      <c r="AR49" s="18"/>
      <c r="AU49" s="21"/>
    </row>
    <row r="50" spans="1:47" ht="15" customHeight="1">
      <c r="A50" s="73"/>
      <c r="F50" s="72"/>
      <c r="G50" s="1077"/>
      <c r="U50" s="1077"/>
      <c r="AI50" s="390"/>
      <c r="AJ50" s="394"/>
      <c r="AK50" s="395"/>
      <c r="AL50" s="394"/>
      <c r="AM50" s="24"/>
      <c r="AN50" s="24"/>
      <c r="AO50" s="18"/>
      <c r="AP50" s="18"/>
      <c r="AQ50" s="18"/>
      <c r="AR50" s="18"/>
      <c r="AU50" s="21"/>
    </row>
    <row r="51" spans="1:47" ht="15" customHeight="1">
      <c r="A51" s="73"/>
      <c r="F51" s="72"/>
      <c r="G51" s="1077"/>
      <c r="U51" s="1077"/>
      <c r="AI51" s="390"/>
      <c r="AJ51" s="30"/>
      <c r="AK51" s="394"/>
      <c r="AL51" s="394"/>
      <c r="AM51" s="24"/>
      <c r="AN51" s="24"/>
      <c r="AO51" s="18"/>
      <c r="AP51" s="18"/>
      <c r="AQ51" s="18"/>
      <c r="AR51" s="18"/>
      <c r="AU51" s="21"/>
    </row>
    <row r="52" spans="1:47" ht="15" customHeight="1">
      <c r="A52" s="73"/>
      <c r="F52" s="72"/>
      <c r="G52" s="1077"/>
      <c r="U52" s="1077"/>
      <c r="AI52" s="390"/>
      <c r="AJ52" s="18"/>
      <c r="AK52" s="18"/>
      <c r="AL52" s="18"/>
      <c r="AM52" s="18"/>
      <c r="AN52" s="18"/>
      <c r="AO52" s="18"/>
      <c r="AP52" s="18"/>
      <c r="AQ52" s="18"/>
      <c r="AR52" s="18"/>
      <c r="AU52" s="21"/>
    </row>
    <row r="53" spans="1:47" ht="15" customHeight="1">
      <c r="A53" s="73"/>
      <c r="F53" s="72"/>
      <c r="G53" s="1077"/>
      <c r="R53" s="97"/>
      <c r="U53" s="1077"/>
      <c r="AI53" s="390"/>
      <c r="AJ53" s="18"/>
      <c r="AK53" s="18"/>
      <c r="AL53" s="18"/>
      <c r="AM53" s="18"/>
      <c r="AN53" s="18"/>
      <c r="AO53" s="18"/>
      <c r="AP53" s="18"/>
      <c r="AQ53" s="18"/>
      <c r="AR53" s="18"/>
      <c r="AU53" s="21"/>
    </row>
    <row r="54" spans="1:47" ht="15" customHeight="1">
      <c r="A54" s="73"/>
      <c r="F54" s="72"/>
      <c r="G54" s="1077"/>
      <c r="U54" s="1077"/>
      <c r="X54" s="393"/>
      <c r="Y54" s="393"/>
      <c r="Z54" s="393"/>
      <c r="AI54" s="390"/>
      <c r="AJ54" s="18"/>
      <c r="AK54" s="18"/>
      <c r="AL54" s="24"/>
      <c r="AM54" s="24"/>
      <c r="AN54" s="24"/>
      <c r="AO54" s="393"/>
      <c r="AP54" s="18"/>
      <c r="AQ54" s="18"/>
      <c r="AR54" s="18"/>
      <c r="AU54" s="21"/>
    </row>
    <row r="55" spans="1:47" ht="15" customHeight="1">
      <c r="A55" s="73"/>
      <c r="F55" s="72"/>
      <c r="G55" s="1077"/>
      <c r="U55" s="1077"/>
      <c r="W55" s="94"/>
      <c r="AI55" s="390"/>
      <c r="AJ55" s="30"/>
      <c r="AK55" s="18"/>
      <c r="AL55" s="24"/>
      <c r="AM55" s="24"/>
      <c r="AN55" s="24"/>
      <c r="AO55" s="18"/>
      <c r="AP55" s="18"/>
      <c r="AQ55" s="18"/>
      <c r="AR55" s="18"/>
      <c r="AU55" s="21"/>
    </row>
    <row r="56" spans="1:47" ht="15" customHeight="1">
      <c r="A56" s="73"/>
      <c r="F56" s="72"/>
      <c r="G56" s="1077"/>
      <c r="I56" s="1078" t="s">
        <v>470</v>
      </c>
      <c r="J56" s="1078"/>
      <c r="U56" s="1077"/>
      <c r="V56" s="393"/>
      <c r="W56" s="1078" t="s">
        <v>470</v>
      </c>
      <c r="X56" s="1078"/>
      <c r="Y56" s="94"/>
      <c r="Z56" s="393"/>
      <c r="AI56" s="390"/>
      <c r="AJ56" s="18"/>
      <c r="AK56" s="18"/>
      <c r="AL56" s="18"/>
      <c r="AM56" s="94"/>
      <c r="AN56" s="94"/>
      <c r="AO56" s="393"/>
      <c r="AP56" s="18"/>
      <c r="AQ56" s="18"/>
      <c r="AR56" s="18"/>
      <c r="AU56" s="21"/>
    </row>
    <row r="57" spans="1:47" ht="15" customHeight="1">
      <c r="A57" s="73"/>
      <c r="F57" s="72"/>
      <c r="I57" s="15"/>
      <c r="U57" s="73"/>
      <c r="Z57" s="94"/>
      <c r="AA57" s="393"/>
      <c r="AI57" s="390"/>
      <c r="AJ57" s="18"/>
      <c r="AK57" s="18"/>
      <c r="AL57" s="18"/>
      <c r="AM57" s="18"/>
      <c r="AN57" s="18"/>
      <c r="AO57" s="94"/>
      <c r="AP57" s="393"/>
      <c r="AQ57" s="18"/>
      <c r="AR57" s="18"/>
      <c r="AU57" s="21"/>
    </row>
    <row r="58" spans="1:47" ht="15" customHeight="1">
      <c r="A58" s="73"/>
      <c r="F58" s="72"/>
      <c r="I58" s="15"/>
      <c r="O58" s="396"/>
      <c r="U58" s="73"/>
      <c r="AI58" s="73"/>
      <c r="AJ58" s="18"/>
      <c r="AK58" s="18"/>
      <c r="AL58" s="18"/>
      <c r="AM58" s="18"/>
      <c r="AN58" s="18"/>
      <c r="AO58" s="18"/>
      <c r="AP58" s="18"/>
      <c r="AQ58" s="18"/>
      <c r="AR58" s="18"/>
      <c r="AU58" s="21"/>
    </row>
    <row r="59" spans="1:47" ht="15" customHeight="1">
      <c r="A59" s="73"/>
      <c r="F59" s="72"/>
      <c r="G59" s="15"/>
      <c r="I59" s="15"/>
      <c r="O59" s="396"/>
      <c r="U59" s="366"/>
      <c r="AD59" s="93"/>
      <c r="AI59" s="73"/>
      <c r="AJ59" s="18"/>
      <c r="AK59" s="18"/>
      <c r="AL59" s="18"/>
      <c r="AM59" s="18"/>
      <c r="AN59" s="18"/>
      <c r="AO59" s="18"/>
      <c r="AP59" s="18"/>
      <c r="AQ59" s="18"/>
      <c r="AR59" s="18"/>
      <c r="AU59" s="21"/>
    </row>
    <row r="60" spans="1:47" ht="15" customHeight="1">
      <c r="A60" s="73"/>
      <c r="F60" s="72"/>
      <c r="G60" s="15"/>
      <c r="H60" s="226"/>
      <c r="I60" s="15"/>
      <c r="J60" s="15"/>
      <c r="L60" s="396"/>
      <c r="O60" s="396"/>
      <c r="U60" s="73"/>
      <c r="AI60" s="73"/>
      <c r="AJ60" s="18"/>
      <c r="AK60" s="18"/>
      <c r="AL60" s="18"/>
      <c r="AM60" s="18"/>
      <c r="AN60" s="18"/>
      <c r="AO60" s="18"/>
      <c r="AP60" s="18"/>
      <c r="AR60" s="18"/>
      <c r="AU60" s="21"/>
    </row>
    <row r="61" spans="1:47" ht="15" customHeight="1">
      <c r="A61" s="73"/>
      <c r="F61" s="72"/>
      <c r="H61" s="15"/>
      <c r="I61" s="15"/>
      <c r="J61" s="15"/>
      <c r="U61" s="73"/>
      <c r="AD61" s="93"/>
      <c r="AI61" s="73"/>
      <c r="AJ61" s="18"/>
      <c r="AK61" s="18"/>
      <c r="AL61" s="18"/>
      <c r="AM61" s="18"/>
      <c r="AN61" s="18"/>
      <c r="AO61" s="18"/>
      <c r="AP61" s="18"/>
      <c r="AQ61" s="18"/>
      <c r="AR61" s="18"/>
      <c r="AU61" s="21"/>
    </row>
    <row r="62" spans="1:47" ht="15" customHeight="1">
      <c r="A62" s="73"/>
      <c r="F62" s="72"/>
      <c r="I62" s="15"/>
      <c r="O62" s="396"/>
      <c r="U62" s="73"/>
      <c r="AI62" s="76"/>
      <c r="AJ62" s="18"/>
      <c r="AK62" s="18"/>
      <c r="AL62" s="18"/>
      <c r="AM62" s="18"/>
      <c r="AN62" s="18"/>
      <c r="AO62" s="18"/>
      <c r="AP62" s="18"/>
      <c r="AQ62" s="18"/>
      <c r="AR62" s="18"/>
      <c r="AU62" s="21"/>
    </row>
    <row r="63" spans="1:47" ht="15" customHeight="1">
      <c r="A63" s="73"/>
      <c r="F63" s="72"/>
      <c r="I63" s="15"/>
      <c r="L63" s="396"/>
      <c r="O63" s="396"/>
      <c r="U63" s="73"/>
      <c r="V63" s="226"/>
      <c r="AI63" s="76"/>
      <c r="AJ63" s="226"/>
      <c r="AK63" s="18"/>
      <c r="AL63" s="18"/>
      <c r="AM63" s="18"/>
      <c r="AN63" s="18"/>
      <c r="AO63" s="18"/>
      <c r="AP63" s="18"/>
      <c r="AQ63" s="18"/>
      <c r="AR63" s="18"/>
      <c r="AU63" s="21"/>
    </row>
    <row r="64" spans="1:47" ht="15" customHeight="1">
      <c r="A64" s="73"/>
      <c r="F64" s="72"/>
      <c r="I64" s="15"/>
      <c r="U64" s="73"/>
      <c r="AI64" s="76"/>
      <c r="AJ64" s="18"/>
      <c r="AK64" s="18"/>
      <c r="AL64" s="18"/>
      <c r="AM64" s="18"/>
      <c r="AN64" s="18"/>
      <c r="AO64" s="18"/>
      <c r="AP64" s="18"/>
      <c r="AQ64" s="18"/>
      <c r="AR64" s="18"/>
      <c r="AU64" s="21"/>
    </row>
    <row r="65" spans="1:47" ht="15" customHeight="1">
      <c r="A65" s="73"/>
      <c r="F65" s="72"/>
      <c r="T65" s="21"/>
      <c r="U65" s="96"/>
      <c r="V65" s="96"/>
      <c r="W65" s="96"/>
      <c r="X65" s="96"/>
      <c r="Y65" s="96"/>
      <c r="Z65" s="96"/>
      <c r="AA65" s="96"/>
      <c r="AB65" s="96"/>
      <c r="AF65" s="18"/>
      <c r="AG65" s="18"/>
      <c r="AI65" s="76"/>
      <c r="AJ65" s="96"/>
      <c r="AK65" s="96"/>
      <c r="AL65" s="96"/>
      <c r="AM65" s="96"/>
      <c r="AN65" s="96"/>
      <c r="AO65" s="96"/>
      <c r="AP65" s="96"/>
      <c r="AQ65" s="96"/>
      <c r="AR65" s="18"/>
      <c r="AS65" s="18"/>
      <c r="AT65" s="18"/>
      <c r="AU65" s="21"/>
    </row>
    <row r="66" spans="1:47" ht="15" customHeight="1">
      <c r="A66" s="73"/>
      <c r="F66" s="72"/>
      <c r="G66" s="15"/>
      <c r="H66" s="15"/>
      <c r="I66" s="15"/>
      <c r="J66" s="15"/>
      <c r="K66" s="15"/>
      <c r="L66" s="15"/>
      <c r="T66" s="21"/>
      <c r="V66" s="15"/>
      <c r="Y66" s="16"/>
      <c r="AE66" s="15"/>
      <c r="AF66" s="16"/>
      <c r="AG66" s="18"/>
      <c r="AI66" s="76"/>
      <c r="AU66" s="21"/>
    </row>
    <row r="67" spans="1:47" ht="15" customHeight="1">
      <c r="A67" s="76"/>
      <c r="G67" s="76"/>
      <c r="H67" s="15"/>
      <c r="I67" s="15"/>
      <c r="J67" s="15"/>
      <c r="K67" s="15"/>
      <c r="L67" s="15"/>
      <c r="T67" s="21"/>
      <c r="AF67" s="18"/>
      <c r="AG67" s="18"/>
      <c r="AI67" s="76"/>
      <c r="AU67" s="21"/>
    </row>
    <row r="68" spans="1:47" ht="15" customHeight="1">
      <c r="A68" s="73"/>
      <c r="E68" s="18"/>
      <c r="G68" s="76"/>
      <c r="H68" s="268"/>
      <c r="I68" s="146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21"/>
      <c r="Z68" s="15"/>
      <c r="AA68" s="82"/>
      <c r="AI68" s="76"/>
      <c r="AU68" s="21"/>
    </row>
    <row r="69" spans="1:47" ht="15" customHeight="1">
      <c r="A69" s="73"/>
      <c r="B69" s="18"/>
      <c r="C69" s="18"/>
      <c r="D69" s="18"/>
      <c r="F69" s="15"/>
      <c r="G69" s="76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21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I69" s="76"/>
      <c r="AU69" s="21"/>
    </row>
    <row r="70" spans="1:47" ht="15" customHeight="1">
      <c r="A70" s="76"/>
      <c r="F70" s="15"/>
      <c r="G70" s="76"/>
      <c r="H70" s="397"/>
      <c r="I70" s="397"/>
      <c r="J70" s="397"/>
      <c r="K70" s="397"/>
      <c r="L70" s="397"/>
      <c r="M70" s="397"/>
      <c r="N70" s="397"/>
      <c r="O70" s="397"/>
      <c r="P70" s="146"/>
      <c r="Q70" s="146"/>
      <c r="R70" s="146"/>
      <c r="S70" s="146"/>
      <c r="T70" s="21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I70" s="76"/>
      <c r="AU70" s="21"/>
    </row>
    <row r="71" spans="1:47" ht="15" customHeight="1">
      <c r="A71" s="76"/>
      <c r="F71" s="15"/>
      <c r="G71" s="76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21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I71" s="76"/>
      <c r="AU71" s="21"/>
    </row>
    <row r="72" spans="1:47" ht="15" customHeight="1">
      <c r="A72" s="358"/>
      <c r="B72" s="165"/>
      <c r="C72" s="165"/>
      <c r="D72" s="165"/>
      <c r="E72" s="165"/>
      <c r="F72" s="174"/>
      <c r="G72" s="358"/>
      <c r="H72" s="174"/>
      <c r="I72" s="174"/>
      <c r="J72" s="174"/>
      <c r="K72" s="174"/>
      <c r="L72" s="174"/>
      <c r="M72" s="174"/>
      <c r="N72" s="174"/>
      <c r="O72" s="174"/>
      <c r="P72" s="174"/>
      <c r="Q72" s="174"/>
      <c r="R72" s="174"/>
      <c r="S72" s="174"/>
      <c r="T72" s="359"/>
      <c r="U72" s="174"/>
      <c r="V72" s="174"/>
      <c r="W72" s="174"/>
      <c r="X72" s="174"/>
      <c r="Y72" s="174"/>
      <c r="Z72" s="174"/>
      <c r="AA72" s="174"/>
      <c r="AB72" s="174"/>
      <c r="AC72" s="174"/>
      <c r="AD72" s="174"/>
      <c r="AE72" s="174"/>
      <c r="AF72" s="165"/>
      <c r="AG72" s="165"/>
      <c r="AH72" s="165"/>
      <c r="AI72" s="164"/>
      <c r="AJ72" s="165"/>
      <c r="AK72" s="165"/>
      <c r="AL72" s="165"/>
      <c r="AM72" s="165"/>
      <c r="AN72" s="165"/>
      <c r="AO72" s="165"/>
      <c r="AP72" s="165"/>
      <c r="AQ72" s="165"/>
      <c r="AR72" s="165"/>
      <c r="AS72" s="165"/>
      <c r="AT72" s="165"/>
      <c r="AU72" s="359"/>
    </row>
  </sheetData>
  <sheetProtection formatCells="0" selectLockedCells="1"/>
  <mergeCells count="84">
    <mergeCell ref="A1:AR1"/>
    <mergeCell ref="A2:AQ2"/>
    <mergeCell ref="A3:F3"/>
    <mergeCell ref="G3:T3"/>
    <mergeCell ref="U3:AH3"/>
    <mergeCell ref="AI3:AU3"/>
    <mergeCell ref="N23:S23"/>
    <mergeCell ref="AB23:AD23"/>
    <mergeCell ref="A4:AU4"/>
    <mergeCell ref="K5:O5"/>
    <mergeCell ref="K6:O6"/>
    <mergeCell ref="AI6:AP6"/>
    <mergeCell ref="N7:O7"/>
    <mergeCell ref="Z13:AC13"/>
    <mergeCell ref="S16:T16"/>
    <mergeCell ref="H17:I17"/>
    <mergeCell ref="AC17:AD18"/>
    <mergeCell ref="K18:M18"/>
    <mergeCell ref="K20:L20"/>
    <mergeCell ref="AI7:AU30"/>
    <mergeCell ref="AB34:AG34"/>
    <mergeCell ref="AP34:AU34"/>
    <mergeCell ref="H35:K35"/>
    <mergeCell ref="L35:N35"/>
    <mergeCell ref="P35:Q35"/>
    <mergeCell ref="R35:S35"/>
    <mergeCell ref="V35:Z35"/>
    <mergeCell ref="AB35:AG35"/>
    <mergeCell ref="AJ35:AN35"/>
    <mergeCell ref="AP35:AU35"/>
    <mergeCell ref="H36:K37"/>
    <mergeCell ref="L36:N36"/>
    <mergeCell ref="P36:Q36"/>
    <mergeCell ref="R36:S36"/>
    <mergeCell ref="V36:Z36"/>
    <mergeCell ref="AJ36:AN36"/>
    <mergeCell ref="AP36:AU36"/>
    <mergeCell ref="L37:N37"/>
    <mergeCell ref="P37:Q37"/>
    <mergeCell ref="R37:S37"/>
    <mergeCell ref="V37:Z37"/>
    <mergeCell ref="AB37:AG37"/>
    <mergeCell ref="AJ37:AO37"/>
    <mergeCell ref="AP37:AR37"/>
    <mergeCell ref="AS37:AU37"/>
    <mergeCell ref="AB36:AG36"/>
    <mergeCell ref="AE39:AG39"/>
    <mergeCell ref="L38:N38"/>
    <mergeCell ref="P38:Q38"/>
    <mergeCell ref="R38:S38"/>
    <mergeCell ref="V38:AA38"/>
    <mergeCell ref="AB38:AD38"/>
    <mergeCell ref="L39:N39"/>
    <mergeCell ref="P39:Q39"/>
    <mergeCell ref="R39:S39"/>
    <mergeCell ref="V39:Z39"/>
    <mergeCell ref="AB39:AD39"/>
    <mergeCell ref="AJ39:AN39"/>
    <mergeCell ref="AP39:AR39"/>
    <mergeCell ref="AS39:AU39"/>
    <mergeCell ref="H40:N40"/>
    <mergeCell ref="P40:Q40"/>
    <mergeCell ref="R40:S40"/>
    <mergeCell ref="V40:Z40"/>
    <mergeCell ref="AB40:AD40"/>
    <mergeCell ref="AE40:AG40"/>
    <mergeCell ref="AJ40:AN40"/>
    <mergeCell ref="H38:K39"/>
    <mergeCell ref="AO40:AU40"/>
    <mergeCell ref="AE38:AG38"/>
    <mergeCell ref="AJ38:AN38"/>
    <mergeCell ref="AP38:AR38"/>
    <mergeCell ref="AS38:AU38"/>
    <mergeCell ref="AJ41:AN41"/>
    <mergeCell ref="AO41:AU41"/>
    <mergeCell ref="G44:G56"/>
    <mergeCell ref="U44:U56"/>
    <mergeCell ref="H48:I48"/>
    <mergeCell ref="I56:J56"/>
    <mergeCell ref="W56:X56"/>
    <mergeCell ref="H43:I43"/>
    <mergeCell ref="V43:W43"/>
    <mergeCell ref="V41:Z41"/>
    <mergeCell ref="AA41:AG41"/>
  </mergeCells>
  <conditionalFormatting sqref="X23:X26">
    <cfRule type="containsBlanks" dxfId="29" priority="4" stopIfTrue="1">
      <formula>LEN(TRIM(X23))=0</formula>
    </cfRule>
  </conditionalFormatting>
  <conditionalFormatting sqref="AA41">
    <cfRule type="containsText" dxfId="28" priority="2" stopIfTrue="1" operator="containsText" text="Unacceptable">
      <formula>NOT(ISERROR(SEARCH("Unacceptable",AA41)))</formula>
    </cfRule>
  </conditionalFormatting>
  <conditionalFormatting sqref="AB23">
    <cfRule type="containsText" dxfId="27" priority="3" stopIfTrue="1" operator="containsText" text="Unacceptable">
      <formula>NOT(ISERROR(SEARCH("Unacceptable",AB23)))</formula>
    </cfRule>
  </conditionalFormatting>
  <conditionalFormatting sqref="AO40:AO41">
    <cfRule type="containsText" dxfId="26" priority="1" stopIfTrue="1" operator="containsText" text="Unacceptable">
      <formula>NOT(ISERROR(SEARCH("Unacceptable",AO40)))</formula>
    </cfRule>
  </conditionalFormatting>
  <dataValidations disablePrompts="1" count="1">
    <dataValidation type="custom" errorStyle="warning" operator="greaterThan" showInputMessage="1" showErrorMessage="1" errorTitle="Gangway Landing Area" error="Length shall greater than 3.5 m_x000a_Width shall greater than 0.8 m" sqref="AE26" xr:uid="{60069387-F32C-4821-B481-F7E043D2050A}">
      <formula1>3.5</formula1>
    </dataValidation>
  </dataValidations>
  <printOptions horizontalCentered="1"/>
  <pageMargins left="0.25" right="0.22" top="0.39370078740157499" bottom="0.23" header="0" footer="0"/>
  <pageSetup paperSize="9" scale="45" orientation="landscape" r:id="rId1"/>
  <headerFooter alignWithMargins="0">
    <oddHeader>&amp;LPELNG-F-MO.T2-0026 Rev. 00&amp;C&amp;REffective Date: 22/04/2026</oddHeader>
    <oddFooter>&amp;L&amp;C&amp;R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E99362-BF57-41CE-8A1C-FCBFA41C6AAD}">
  <dimension ref="A1:AU79"/>
  <sheetViews>
    <sheetView view="pageBreakPreview" topLeftCell="A10" zoomScale="57" zoomScaleNormal="40" zoomScaleSheetLayoutView="100" zoomScalePageLayoutView="46" workbookViewId="0">
      <selection activeCell="S37" sqref="S37"/>
    </sheetView>
  </sheetViews>
  <sheetFormatPr defaultColWidth="9.109375" defaultRowHeight="13.8"/>
  <cols>
    <col min="1" max="5" width="6.6640625" style="15" customWidth="1"/>
    <col min="6" max="6" width="9.5546875" style="18" customWidth="1"/>
    <col min="7" max="16" width="6.6640625" style="18" customWidth="1"/>
    <col min="17" max="17" width="9.44140625" style="18" customWidth="1"/>
    <col min="18" max="19" width="6.6640625" style="18" customWidth="1"/>
    <col min="20" max="20" width="9.33203125" style="15" customWidth="1"/>
    <col min="21" max="26" width="6.6640625" style="18" customWidth="1"/>
    <col min="27" max="27" width="7.77734375" style="18" customWidth="1"/>
    <col min="28" max="30" width="6.6640625" style="18" customWidth="1"/>
    <col min="31" max="31" width="8.44140625" style="18" customWidth="1"/>
    <col min="32" max="33" width="6.6640625" style="15" customWidth="1"/>
    <col min="34" max="34" width="8.44140625" style="15" customWidth="1"/>
    <col min="35" max="47" width="6.33203125" style="15" customWidth="1"/>
    <col min="48" max="51" width="9.109375" style="15" customWidth="1"/>
    <col min="52" max="16384" width="9.109375" style="15"/>
  </cols>
  <sheetData>
    <row r="1" spans="1:47" ht="24.9" customHeight="1">
      <c r="A1" s="830" t="s">
        <v>6</v>
      </c>
      <c r="B1" s="831"/>
      <c r="C1" s="831"/>
      <c r="D1" s="831"/>
      <c r="E1" s="831"/>
      <c r="F1" s="831"/>
      <c r="G1" s="831"/>
      <c r="H1" s="831"/>
      <c r="I1" s="831"/>
      <c r="J1" s="831"/>
      <c r="K1" s="831"/>
      <c r="L1" s="831"/>
      <c r="M1" s="831"/>
      <c r="N1" s="831"/>
      <c r="O1" s="831"/>
      <c r="P1" s="831"/>
      <c r="Q1" s="831"/>
      <c r="R1" s="831"/>
      <c r="S1" s="831"/>
      <c r="T1" s="831"/>
      <c r="U1" s="831"/>
      <c r="V1" s="831"/>
      <c r="W1" s="831"/>
      <c r="X1" s="831"/>
      <c r="Y1" s="831"/>
      <c r="Z1" s="831"/>
      <c r="AA1" s="831"/>
      <c r="AB1" s="831"/>
      <c r="AC1" s="831"/>
      <c r="AD1" s="831"/>
      <c r="AE1" s="831"/>
      <c r="AF1" s="831"/>
      <c r="AG1" s="831"/>
      <c r="AH1" s="831"/>
      <c r="AI1" s="831"/>
      <c r="AJ1" s="831"/>
      <c r="AK1" s="831"/>
      <c r="AL1" s="831"/>
      <c r="AM1" s="831"/>
      <c r="AN1" s="831"/>
      <c r="AO1" s="831"/>
      <c r="AP1" s="831"/>
      <c r="AQ1" s="831"/>
      <c r="AR1" s="831"/>
      <c r="AS1" s="6"/>
      <c r="AT1" s="7" t="s">
        <v>7</v>
      </c>
      <c r="AU1" s="8"/>
    </row>
    <row r="2" spans="1:47" ht="24.9" customHeight="1">
      <c r="A2" s="833"/>
      <c r="B2" s="834"/>
      <c r="C2" s="834"/>
      <c r="D2" s="834"/>
      <c r="E2" s="834"/>
      <c r="F2" s="834"/>
      <c r="G2" s="834"/>
      <c r="H2" s="834"/>
      <c r="I2" s="834"/>
      <c r="J2" s="834"/>
      <c r="K2" s="834"/>
      <c r="L2" s="834"/>
      <c r="M2" s="834"/>
      <c r="N2" s="834"/>
      <c r="O2" s="834"/>
      <c r="P2" s="834"/>
      <c r="Q2" s="834"/>
      <c r="R2" s="834"/>
      <c r="S2" s="834"/>
      <c r="T2" s="834"/>
      <c r="U2" s="834"/>
      <c r="V2" s="834"/>
      <c r="W2" s="834"/>
      <c r="X2" s="834"/>
      <c r="Y2" s="834"/>
      <c r="Z2" s="834"/>
      <c r="AA2" s="834"/>
      <c r="AB2" s="834"/>
      <c r="AC2" s="834"/>
      <c r="AD2" s="834"/>
      <c r="AE2" s="834"/>
      <c r="AF2" s="834"/>
      <c r="AG2" s="834"/>
      <c r="AH2" s="834"/>
      <c r="AI2" s="834"/>
      <c r="AJ2" s="834"/>
      <c r="AK2" s="834"/>
      <c r="AL2" s="834"/>
      <c r="AM2" s="834"/>
      <c r="AN2" s="834"/>
      <c r="AO2" s="834"/>
      <c r="AP2" s="834"/>
      <c r="AQ2" s="834"/>
      <c r="AR2" s="834"/>
      <c r="AS2" s="11"/>
      <c r="AT2" s="12" t="s">
        <v>471</v>
      </c>
      <c r="AU2" s="13"/>
    </row>
    <row r="3" spans="1:47" s="67" customFormat="1" ht="36.9" customHeight="1">
      <c r="A3" s="839" t="s">
        <v>114</v>
      </c>
      <c r="B3" s="840"/>
      <c r="C3" s="840"/>
      <c r="D3" s="840"/>
      <c r="E3" s="840"/>
      <c r="F3" s="1068"/>
      <c r="G3" s="1069" t="s">
        <v>115</v>
      </c>
      <c r="H3" s="840"/>
      <c r="I3" s="840"/>
      <c r="J3" s="840"/>
      <c r="K3" s="840"/>
      <c r="L3" s="840"/>
      <c r="M3" s="840"/>
      <c r="N3" s="840"/>
      <c r="O3" s="840"/>
      <c r="P3" s="840"/>
      <c r="Q3" s="840"/>
      <c r="R3" s="840"/>
      <c r="S3" s="840"/>
      <c r="T3" s="1068"/>
      <c r="U3" s="1069" t="s">
        <v>116</v>
      </c>
      <c r="V3" s="840"/>
      <c r="W3" s="840"/>
      <c r="X3" s="840"/>
      <c r="Y3" s="840"/>
      <c r="Z3" s="840"/>
      <c r="AA3" s="840"/>
      <c r="AB3" s="840"/>
      <c r="AC3" s="840"/>
      <c r="AD3" s="840"/>
      <c r="AE3" s="840"/>
      <c r="AF3" s="840"/>
      <c r="AG3" s="840"/>
      <c r="AH3" s="1068"/>
      <c r="AI3" s="839" t="s">
        <v>117</v>
      </c>
      <c r="AJ3" s="840"/>
      <c r="AK3" s="840"/>
      <c r="AL3" s="840"/>
      <c r="AM3" s="840"/>
      <c r="AN3" s="840"/>
      <c r="AO3" s="840"/>
      <c r="AP3" s="840"/>
      <c r="AQ3" s="840"/>
      <c r="AR3" s="840"/>
      <c r="AS3" s="840"/>
      <c r="AT3" s="840"/>
      <c r="AU3" s="1068"/>
    </row>
    <row r="4" spans="1:47" ht="15" customHeight="1">
      <c r="A4" s="870" t="s">
        <v>472</v>
      </c>
      <c r="B4" s="871"/>
      <c r="C4" s="871"/>
      <c r="D4" s="871"/>
      <c r="E4" s="871"/>
      <c r="F4" s="871"/>
      <c r="G4" s="871"/>
      <c r="H4" s="871"/>
      <c r="I4" s="871"/>
      <c r="J4" s="871"/>
      <c r="K4" s="871"/>
      <c r="L4" s="871"/>
      <c r="M4" s="871"/>
      <c r="N4" s="871"/>
      <c r="O4" s="871"/>
      <c r="P4" s="871"/>
      <c r="Q4" s="871"/>
      <c r="R4" s="871"/>
      <c r="S4" s="871"/>
      <c r="T4" s="871"/>
      <c r="U4" s="871"/>
      <c r="V4" s="871"/>
      <c r="W4" s="871"/>
      <c r="X4" s="871"/>
      <c r="Y4" s="871"/>
      <c r="Z4" s="871"/>
      <c r="AA4" s="871"/>
      <c r="AB4" s="871"/>
      <c r="AC4" s="871"/>
      <c r="AD4" s="871"/>
      <c r="AE4" s="871"/>
      <c r="AF4" s="871"/>
      <c r="AG4" s="871"/>
      <c r="AH4" s="871"/>
      <c r="AI4" s="871"/>
      <c r="AJ4" s="871"/>
      <c r="AK4" s="871"/>
      <c r="AL4" s="871"/>
      <c r="AM4" s="871"/>
      <c r="AN4" s="871"/>
      <c r="AO4" s="871"/>
      <c r="AP4" s="871"/>
      <c r="AQ4" s="871"/>
      <c r="AR4" s="871"/>
      <c r="AS4" s="871"/>
      <c r="AT4" s="871"/>
      <c r="AU4" s="968"/>
    </row>
    <row r="5" spans="1:47" ht="15" customHeight="1">
      <c r="A5" s="73"/>
      <c r="B5" s="18"/>
      <c r="C5" s="18"/>
      <c r="D5" s="18"/>
      <c r="E5" s="18"/>
      <c r="F5" s="72"/>
      <c r="G5" s="73"/>
      <c r="S5" s="16"/>
      <c r="U5" s="73"/>
      <c r="AH5" s="21"/>
      <c r="AI5" s="73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72"/>
    </row>
    <row r="6" spans="1:47" ht="15" customHeight="1">
      <c r="A6" s="73" t="s">
        <v>473</v>
      </c>
      <c r="B6" s="18"/>
      <c r="F6" s="72"/>
      <c r="G6" s="68" t="s">
        <v>474</v>
      </c>
      <c r="H6" s="15"/>
      <c r="I6" s="15"/>
      <c r="N6" s="16"/>
      <c r="O6" s="74"/>
      <c r="P6" s="74"/>
      <c r="R6" s="78"/>
      <c r="S6" s="78"/>
      <c r="U6" s="1116" t="s">
        <v>475</v>
      </c>
      <c r="V6" s="1117"/>
      <c r="W6" s="1117"/>
      <c r="AC6" s="74"/>
      <c r="AD6" s="74"/>
      <c r="AE6" s="74"/>
      <c r="AF6" s="18"/>
      <c r="AG6" s="18"/>
      <c r="AH6" s="72"/>
      <c r="AI6" s="73"/>
      <c r="AJ6" s="18"/>
      <c r="AK6" s="18"/>
      <c r="AS6" s="18"/>
      <c r="AT6" s="18"/>
      <c r="AU6" s="72"/>
    </row>
    <row r="7" spans="1:47" ht="15" customHeight="1">
      <c r="A7" s="73"/>
      <c r="B7" s="18"/>
      <c r="F7" s="72"/>
      <c r="G7" s="73" t="s">
        <v>476</v>
      </c>
      <c r="H7" s="24"/>
      <c r="I7" s="24"/>
      <c r="J7" s="228"/>
      <c r="K7" s="228"/>
      <c r="L7" s="24"/>
      <c r="M7" s="24"/>
      <c r="N7" s="16"/>
      <c r="O7" s="74"/>
      <c r="P7" s="74"/>
      <c r="R7" s="78"/>
      <c r="S7" s="78"/>
      <c r="U7" s="150" t="s">
        <v>477</v>
      </c>
      <c r="V7" s="28"/>
      <c r="W7" s="28"/>
      <c r="X7" s="28"/>
      <c r="Y7" s="398"/>
      <c r="Z7" s="399" t="s">
        <v>30</v>
      </c>
      <c r="AA7" s="398"/>
      <c r="AB7" s="28" t="s">
        <v>478</v>
      </c>
      <c r="AC7" s="153" t="s">
        <v>479</v>
      </c>
      <c r="AD7" s="398"/>
      <c r="AE7" s="9" t="s">
        <v>480</v>
      </c>
      <c r="AF7" s="153"/>
      <c r="AG7" s="398"/>
      <c r="AH7" s="9"/>
      <c r="AI7" s="400"/>
      <c r="AJ7" s="9"/>
      <c r="AK7" s="40"/>
      <c r="AL7" s="40"/>
      <c r="AM7" s="40"/>
      <c r="AN7" s="9"/>
      <c r="AO7" s="9"/>
      <c r="AP7" s="9"/>
      <c r="AQ7" s="9"/>
      <c r="AR7" s="9"/>
      <c r="AS7" s="40"/>
      <c r="AT7" s="40"/>
      <c r="AU7" s="401"/>
    </row>
    <row r="8" spans="1:47" ht="15" customHeight="1">
      <c r="A8" s="73"/>
      <c r="B8" s="18"/>
      <c r="F8" s="72"/>
      <c r="G8" s="366" t="s">
        <v>305</v>
      </c>
      <c r="H8" s="24" t="s">
        <v>481</v>
      </c>
      <c r="I8" s="24"/>
      <c r="J8" s="402"/>
      <c r="K8" s="301" t="s">
        <v>30</v>
      </c>
      <c r="L8" s="863">
        <v>14000</v>
      </c>
      <c r="M8" s="863"/>
      <c r="N8" s="24" t="s">
        <v>482</v>
      </c>
      <c r="O8" s="16"/>
      <c r="P8" s="74"/>
      <c r="R8" s="78"/>
      <c r="S8" s="78"/>
      <c r="U8" s="150" t="s">
        <v>483</v>
      </c>
      <c r="V8" s="9"/>
      <c r="W8" s="40"/>
      <c r="X8" s="40"/>
      <c r="Y8" s="403"/>
      <c r="Z8" s="399" t="s">
        <v>30</v>
      </c>
      <c r="AA8" s="398"/>
      <c r="AB8" s="28" t="s">
        <v>478</v>
      </c>
      <c r="AC8" s="153" t="s">
        <v>479</v>
      </c>
      <c r="AD8" s="398"/>
      <c r="AE8" s="9" t="s">
        <v>480</v>
      </c>
      <c r="AF8" s="153"/>
      <c r="AG8" s="398"/>
      <c r="AH8" s="9"/>
      <c r="AI8" s="143"/>
      <c r="AJ8" s="9"/>
      <c r="AK8" s="40"/>
      <c r="AL8" s="40"/>
      <c r="AM8" s="40"/>
      <c r="AN8" s="404"/>
      <c r="AO8" s="404"/>
      <c r="AP8" s="40"/>
      <c r="AQ8" s="405"/>
      <c r="AR8" s="405"/>
      <c r="AS8" s="40"/>
      <c r="AT8" s="40"/>
      <c r="AU8" s="401"/>
    </row>
    <row r="9" spans="1:47" ht="15" customHeight="1">
      <c r="A9" s="73"/>
      <c r="B9" s="18"/>
      <c r="F9" s="72"/>
      <c r="G9" s="366" t="s">
        <v>305</v>
      </c>
      <c r="H9" s="18" t="s">
        <v>484</v>
      </c>
      <c r="J9" s="402"/>
      <c r="K9" s="301" t="s">
        <v>30</v>
      </c>
      <c r="L9" s="1189">
        <v>4000</v>
      </c>
      <c r="M9" s="1189"/>
      <c r="N9" s="24" t="s">
        <v>482</v>
      </c>
      <c r="O9" s="16"/>
      <c r="P9" s="74"/>
      <c r="R9" s="78"/>
      <c r="S9" s="78"/>
      <c r="U9" s="150" t="s">
        <v>485</v>
      </c>
      <c r="V9" s="28"/>
      <c r="W9" s="28"/>
      <c r="X9" s="28"/>
      <c r="Y9" s="28"/>
      <c r="Z9" s="399" t="s">
        <v>30</v>
      </c>
      <c r="AA9" s="398"/>
      <c r="AB9" s="28" t="s">
        <v>478</v>
      </c>
      <c r="AC9" s="153" t="s">
        <v>479</v>
      </c>
      <c r="AD9" s="398"/>
      <c r="AE9" s="9" t="s">
        <v>480</v>
      </c>
      <c r="AF9" s="153"/>
      <c r="AG9" s="398"/>
      <c r="AH9" s="9"/>
      <c r="AI9" s="143"/>
      <c r="AJ9" s="9"/>
      <c r="AK9" s="40"/>
      <c r="AL9" s="40"/>
      <c r="AM9" s="40"/>
      <c r="AN9" s="404"/>
      <c r="AO9" s="404"/>
      <c r="AP9" s="40"/>
      <c r="AQ9" s="405"/>
      <c r="AR9" s="405"/>
      <c r="AS9" s="40"/>
      <c r="AT9" s="40"/>
      <c r="AU9" s="401"/>
    </row>
    <row r="10" spans="1:47" ht="15" customHeight="1">
      <c r="A10" s="73"/>
      <c r="B10" s="18"/>
      <c r="F10" s="72"/>
      <c r="G10" s="73"/>
      <c r="J10" s="406"/>
      <c r="K10" s="301"/>
      <c r="L10" s="406"/>
      <c r="N10" s="24"/>
      <c r="O10" s="16"/>
      <c r="P10" s="74"/>
      <c r="R10" s="78"/>
      <c r="S10" s="78"/>
      <c r="U10" s="143"/>
      <c r="V10" s="9"/>
      <c r="W10" s="40"/>
      <c r="X10" s="40"/>
      <c r="Y10" s="40"/>
      <c r="Z10" s="9"/>
      <c r="AA10" s="40"/>
      <c r="AB10" s="40"/>
      <c r="AC10" s="407"/>
      <c r="AD10" s="407"/>
      <c r="AE10" s="407"/>
      <c r="AF10" s="40"/>
      <c r="AG10" s="40"/>
      <c r="AH10" s="401"/>
      <c r="AI10" s="143"/>
      <c r="AJ10" s="40"/>
      <c r="AK10" s="408"/>
      <c r="AL10" s="408"/>
      <c r="AM10" s="408"/>
      <c r="AN10" s="408"/>
      <c r="AO10" s="408"/>
      <c r="AP10" s="408"/>
      <c r="AQ10" s="40"/>
      <c r="AR10" s="40"/>
      <c r="AS10" s="40"/>
      <c r="AT10" s="40"/>
      <c r="AU10" s="401"/>
    </row>
    <row r="11" spans="1:47" ht="15" customHeight="1">
      <c r="A11" s="73"/>
      <c r="B11" s="18"/>
      <c r="F11" s="72"/>
      <c r="G11" s="184" t="s">
        <v>486</v>
      </c>
      <c r="I11" s="15"/>
      <c r="K11" s="183"/>
      <c r="O11" s="16"/>
      <c r="P11" s="16"/>
      <c r="R11" s="15"/>
      <c r="S11" s="397"/>
      <c r="T11" s="397"/>
      <c r="U11" s="409"/>
      <c r="V11" s="28"/>
      <c r="W11" s="28"/>
      <c r="X11" s="28"/>
      <c r="Y11" s="28"/>
      <c r="Z11" s="399"/>
      <c r="AA11" s="40"/>
      <c r="AB11" s="40"/>
      <c r="AC11" s="407"/>
      <c r="AD11" s="407"/>
      <c r="AE11" s="407"/>
      <c r="AF11" s="40"/>
      <c r="AG11" s="28"/>
      <c r="AH11" s="9"/>
      <c r="AI11" s="400"/>
      <c r="AJ11" s="40"/>
      <c r="AK11" s="40"/>
      <c r="AL11" s="40"/>
      <c r="AM11" s="40"/>
      <c r="AN11" s="40"/>
      <c r="AO11" s="40"/>
      <c r="AP11" s="40"/>
      <c r="AQ11" s="40"/>
      <c r="AR11" s="40"/>
      <c r="AS11" s="40"/>
      <c r="AT11" s="40"/>
      <c r="AU11" s="401"/>
    </row>
    <row r="12" spans="1:47" ht="15" customHeight="1">
      <c r="A12" s="73"/>
      <c r="B12" s="18"/>
      <c r="F12" s="72"/>
      <c r="G12" s="366" t="s">
        <v>305</v>
      </c>
      <c r="H12" s="24" t="s">
        <v>481</v>
      </c>
      <c r="I12" s="24"/>
      <c r="J12" s="402"/>
      <c r="K12" s="301" t="s">
        <v>30</v>
      </c>
      <c r="L12" s="126">
        <v>1</v>
      </c>
      <c r="M12" s="411" t="s">
        <v>488</v>
      </c>
      <c r="N12" s="24"/>
      <c r="O12" s="24"/>
      <c r="P12" s="305"/>
      <c r="Q12" s="24"/>
      <c r="R12" s="24"/>
      <c r="S12" s="305"/>
      <c r="T12" s="334"/>
      <c r="U12" s="143"/>
      <c r="V12" s="9"/>
      <c r="W12" s="40"/>
      <c r="X12" s="40"/>
      <c r="Y12" s="40"/>
      <c r="Z12" s="399"/>
      <c r="AA12" s="398"/>
      <c r="AB12" s="28"/>
      <c r="AC12" s="407"/>
      <c r="AD12" s="407"/>
      <c r="AE12" s="407"/>
      <c r="AF12" s="40"/>
      <c r="AG12" s="40"/>
      <c r="AH12" s="401"/>
      <c r="AI12" s="143"/>
      <c r="AJ12" s="40"/>
      <c r="AK12" s="40"/>
      <c r="AL12" s="40"/>
      <c r="AM12" s="40"/>
      <c r="AN12" s="40"/>
      <c r="AO12" s="40"/>
      <c r="AP12" s="40"/>
      <c r="AQ12" s="40"/>
      <c r="AR12" s="40"/>
      <c r="AS12" s="40"/>
      <c r="AT12" s="40"/>
      <c r="AU12" s="401"/>
    </row>
    <row r="13" spans="1:47" ht="15" customHeight="1">
      <c r="A13" s="73"/>
      <c r="B13" s="18"/>
      <c r="F13" s="72"/>
      <c r="G13" s="366" t="s">
        <v>305</v>
      </c>
      <c r="H13" s="18" t="s">
        <v>484</v>
      </c>
      <c r="J13" s="402"/>
      <c r="K13" s="301" t="s">
        <v>30</v>
      </c>
      <c r="L13" s="126">
        <v>4</v>
      </c>
      <c r="M13" s="411" t="s">
        <v>488</v>
      </c>
      <c r="N13" s="18" t="s">
        <v>489</v>
      </c>
      <c r="O13" s="16"/>
      <c r="P13" s="412"/>
      <c r="Q13" s="16"/>
      <c r="R13" s="16"/>
      <c r="S13" s="77"/>
      <c r="T13" s="413"/>
      <c r="U13" s="414" t="s">
        <v>752</v>
      </c>
      <c r="V13" s="40"/>
      <c r="W13" s="40"/>
      <c r="X13" s="40"/>
      <c r="Y13" s="40"/>
      <c r="Z13" s="398"/>
      <c r="AA13" s="398"/>
      <c r="AB13" s="28"/>
      <c r="AC13" s="407"/>
      <c r="AD13" s="407"/>
      <c r="AE13" s="40"/>
      <c r="AF13" s="407"/>
      <c r="AG13" s="40"/>
      <c r="AH13" s="401"/>
      <c r="AI13" s="143"/>
      <c r="AJ13" s="40"/>
      <c r="AK13" s="40"/>
      <c r="AL13" s="40"/>
      <c r="AM13" s="40"/>
      <c r="AN13" s="40"/>
      <c r="AO13" s="40"/>
      <c r="AP13" s="40"/>
      <c r="AQ13" s="40"/>
      <c r="AR13" s="40"/>
      <c r="AS13" s="40"/>
      <c r="AT13" s="40"/>
      <c r="AU13" s="401"/>
    </row>
    <row r="14" spans="1:47" ht="15" customHeight="1">
      <c r="A14" s="73"/>
      <c r="B14" s="18"/>
      <c r="F14" s="72"/>
      <c r="G14" s="73"/>
      <c r="J14" s="77"/>
      <c r="K14" s="183"/>
      <c r="L14" s="77"/>
      <c r="M14" s="16"/>
      <c r="N14" s="16"/>
      <c r="O14" s="16"/>
      <c r="P14" s="412"/>
      <c r="Q14" s="16"/>
      <c r="R14" s="16"/>
      <c r="S14" s="77"/>
      <c r="T14" s="413"/>
      <c r="U14" s="415" t="s">
        <v>305</v>
      </c>
      <c r="V14" s="28" t="s">
        <v>481</v>
      </c>
      <c r="W14" s="40"/>
      <c r="X14" s="40"/>
      <c r="Y14" s="40"/>
      <c r="Z14" s="399" t="s">
        <v>30</v>
      </c>
      <c r="AA14" s="1190"/>
      <c r="AB14" s="1190"/>
      <c r="AC14" s="1190"/>
      <c r="AD14" s="1190"/>
      <c r="AE14" s="1190"/>
      <c r="AF14" s="1190"/>
      <c r="AG14" s="1190"/>
      <c r="AH14" s="401"/>
      <c r="AI14" s="143"/>
      <c r="AJ14" s="40"/>
      <c r="AK14" s="40"/>
      <c r="AL14" s="40"/>
      <c r="AM14" s="40"/>
      <c r="AN14" s="40"/>
      <c r="AO14" s="40"/>
      <c r="AP14" s="40"/>
      <c r="AQ14" s="40"/>
      <c r="AR14" s="40"/>
      <c r="AS14" s="40"/>
      <c r="AT14" s="40"/>
      <c r="AU14" s="401"/>
    </row>
    <row r="15" spans="1:47" ht="15" customHeight="1">
      <c r="A15" s="73"/>
      <c r="B15" s="18"/>
      <c r="F15" s="72"/>
      <c r="G15" s="184" t="s">
        <v>490</v>
      </c>
      <c r="K15" s="183"/>
      <c r="M15" s="16"/>
      <c r="N15" s="16"/>
      <c r="O15" s="16"/>
      <c r="R15" s="416"/>
      <c r="T15" s="21"/>
      <c r="U15" s="415" t="s">
        <v>305</v>
      </c>
      <c r="V15" s="40" t="s">
        <v>484</v>
      </c>
      <c r="W15" s="40"/>
      <c r="X15" s="40"/>
      <c r="Y15" s="40"/>
      <c r="Z15" s="399" t="s">
        <v>30</v>
      </c>
      <c r="AA15" s="1190"/>
      <c r="AB15" s="1190"/>
      <c r="AC15" s="1190"/>
      <c r="AD15" s="1190"/>
      <c r="AE15" s="1190"/>
      <c r="AF15" s="1190"/>
      <c r="AG15" s="1190"/>
      <c r="AH15" s="401"/>
      <c r="AI15" s="400"/>
      <c r="AJ15" s="40"/>
      <c r="AK15" s="40"/>
      <c r="AL15" s="40"/>
      <c r="AM15" s="40"/>
      <c r="AN15" s="40"/>
      <c r="AO15" s="40"/>
      <c r="AP15" s="40"/>
      <c r="AQ15" s="40"/>
      <c r="AR15" s="40"/>
      <c r="AS15" s="40"/>
      <c r="AT15" s="40"/>
      <c r="AU15" s="401"/>
    </row>
    <row r="16" spans="1:47" ht="15" customHeight="1">
      <c r="A16" s="73"/>
      <c r="B16" s="18"/>
      <c r="F16" s="72"/>
      <c r="G16" s="366" t="s">
        <v>305</v>
      </c>
      <c r="H16" s="24" t="s">
        <v>481</v>
      </c>
      <c r="I16" s="92"/>
      <c r="J16" s="402"/>
      <c r="K16" s="301" t="s">
        <v>30</v>
      </c>
      <c r="L16" s="126">
        <v>20</v>
      </c>
      <c r="M16" s="18" t="s">
        <v>491</v>
      </c>
      <c r="N16" s="16"/>
      <c r="O16" s="16"/>
      <c r="R16" s="16"/>
      <c r="T16" s="21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401"/>
      <c r="AI16" s="143"/>
      <c r="AJ16" s="9"/>
      <c r="AK16" s="9"/>
      <c r="AL16" s="9"/>
      <c r="AM16" s="9"/>
      <c r="AN16" s="9"/>
      <c r="AO16" s="9"/>
      <c r="AP16" s="40"/>
      <c r="AQ16" s="9"/>
      <c r="AR16" s="9"/>
      <c r="AS16" s="9"/>
      <c r="AT16" s="9"/>
      <c r="AU16" s="44"/>
    </row>
    <row r="17" spans="1:47" ht="15" customHeight="1">
      <c r="A17" s="73"/>
      <c r="B17" s="18"/>
      <c r="F17" s="72"/>
      <c r="G17" s="366" t="s">
        <v>305</v>
      </c>
      <c r="H17" s="18" t="s">
        <v>484</v>
      </c>
      <c r="I17" s="77"/>
      <c r="J17" s="402"/>
      <c r="K17" s="301" t="s">
        <v>30</v>
      </c>
      <c r="L17" s="126">
        <v>20</v>
      </c>
      <c r="M17" s="18" t="s">
        <v>491</v>
      </c>
      <c r="N17" s="16"/>
      <c r="O17" s="16"/>
      <c r="R17" s="16"/>
      <c r="T17" s="21"/>
      <c r="U17" s="414" t="s">
        <v>753</v>
      </c>
      <c r="V17" s="40"/>
      <c r="W17" s="40"/>
      <c r="X17" s="40"/>
      <c r="Y17" s="40"/>
      <c r="Z17" s="399"/>
      <c r="AA17" s="398"/>
      <c r="AB17" s="410"/>
      <c r="AC17" s="417"/>
      <c r="AD17" s="407"/>
      <c r="AE17" s="40"/>
      <c r="AF17" s="407"/>
      <c r="AG17" s="40"/>
      <c r="AH17" s="401"/>
      <c r="AI17" s="143"/>
      <c r="AJ17" s="9"/>
      <c r="AK17" s="9"/>
      <c r="AL17" s="9"/>
      <c r="AM17" s="9"/>
      <c r="AN17" s="9"/>
      <c r="AO17" s="9"/>
      <c r="AP17" s="40"/>
      <c r="AQ17" s="9"/>
      <c r="AR17" s="9"/>
      <c r="AS17" s="9"/>
      <c r="AT17" s="9"/>
      <c r="AU17" s="44"/>
    </row>
    <row r="18" spans="1:47" ht="15" customHeight="1">
      <c r="A18" s="73"/>
      <c r="B18" s="18"/>
      <c r="F18" s="72"/>
      <c r="G18" s="418"/>
      <c r="I18" s="77"/>
      <c r="K18" s="183"/>
      <c r="L18" s="16"/>
      <c r="M18" s="16"/>
      <c r="N18" s="16"/>
      <c r="R18" s="16"/>
      <c r="T18" s="21"/>
      <c r="U18" s="415" t="s">
        <v>305</v>
      </c>
      <c r="V18" s="28" t="s">
        <v>481</v>
      </c>
      <c r="W18" s="419"/>
      <c r="X18" s="420"/>
      <c r="Y18" s="421"/>
      <c r="Z18" s="399" t="s">
        <v>30</v>
      </c>
      <c r="AA18" s="398"/>
      <c r="AB18" s="40" t="s">
        <v>492</v>
      </c>
      <c r="AC18" s="422"/>
      <c r="AD18" s="417"/>
      <c r="AE18" s="40"/>
      <c r="AF18" s="423"/>
      <c r="AG18" s="40"/>
      <c r="AH18" s="401"/>
      <c r="AI18" s="143"/>
      <c r="AJ18" s="9"/>
      <c r="AK18" s="9"/>
      <c r="AL18" s="9"/>
      <c r="AM18" s="9"/>
      <c r="AN18" s="9"/>
      <c r="AO18" s="9"/>
      <c r="AP18" s="40"/>
      <c r="AQ18" s="9"/>
      <c r="AR18" s="9"/>
      <c r="AS18" s="9"/>
      <c r="AT18" s="9"/>
      <c r="AU18" s="44"/>
    </row>
    <row r="19" spans="1:47" ht="15" customHeight="1">
      <c r="A19" s="73"/>
      <c r="B19" s="18"/>
      <c r="F19" s="72"/>
      <c r="G19" s="184" t="s">
        <v>493</v>
      </c>
      <c r="K19" s="301" t="s">
        <v>30</v>
      </c>
      <c r="L19" s="32" t="s">
        <v>494</v>
      </c>
      <c r="M19" s="127"/>
      <c r="N19" s="16"/>
      <c r="O19" s="16"/>
      <c r="R19" s="16"/>
      <c r="T19" s="21"/>
      <c r="U19" s="415" t="s">
        <v>305</v>
      </c>
      <c r="V19" s="40" t="s">
        <v>484</v>
      </c>
      <c r="W19" s="408"/>
      <c r="X19" s="420"/>
      <c r="Y19" s="421"/>
      <c r="Z19" s="399" t="s">
        <v>30</v>
      </c>
      <c r="AA19" s="398"/>
      <c r="AB19" s="40" t="s">
        <v>492</v>
      </c>
      <c r="AC19" s="424"/>
      <c r="AD19" s="422"/>
      <c r="AE19" s="40"/>
      <c r="AF19" s="423"/>
      <c r="AG19" s="40"/>
      <c r="AH19" s="401"/>
      <c r="AI19" s="400"/>
      <c r="AJ19" s="9"/>
      <c r="AK19" s="9"/>
      <c r="AL19" s="9"/>
      <c r="AM19" s="9"/>
      <c r="AN19" s="40"/>
      <c r="AO19" s="9"/>
      <c r="AP19" s="40"/>
      <c r="AQ19" s="9"/>
      <c r="AR19" s="9"/>
      <c r="AS19" s="9"/>
      <c r="AT19" s="9"/>
      <c r="AU19" s="44"/>
    </row>
    <row r="20" spans="1:47" ht="15" customHeight="1">
      <c r="A20" s="73"/>
      <c r="B20" s="18"/>
      <c r="F20" s="72"/>
      <c r="G20" s="70"/>
      <c r="H20" s="24"/>
      <c r="I20" s="24"/>
      <c r="J20" s="305"/>
      <c r="K20" s="183"/>
      <c r="L20" s="305"/>
      <c r="M20" s="305"/>
      <c r="N20" s="305"/>
      <c r="O20" s="305"/>
      <c r="T20" s="21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401"/>
      <c r="AI20" s="143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44"/>
    </row>
    <row r="21" spans="1:47" ht="15" customHeight="1">
      <c r="A21" s="73"/>
      <c r="B21" s="18"/>
      <c r="F21" s="72"/>
      <c r="G21" s="184" t="s">
        <v>495</v>
      </c>
      <c r="H21" s="96"/>
      <c r="J21" s="139"/>
      <c r="K21" s="183"/>
      <c r="L21" s="139"/>
      <c r="M21" s="139"/>
      <c r="N21" s="139"/>
      <c r="O21" s="139"/>
      <c r="P21" s="139"/>
      <c r="Q21" s="139"/>
      <c r="R21" s="139"/>
      <c r="T21" s="21"/>
      <c r="U21" s="414" t="s">
        <v>754</v>
      </c>
      <c r="V21" s="425"/>
      <c r="W21" s="425"/>
      <c r="X21" s="151"/>
      <c r="Y21" s="151"/>
      <c r="Z21" s="403"/>
      <c r="AA21" s="151"/>
      <c r="AB21" s="151"/>
      <c r="AC21" s="424"/>
      <c r="AD21" s="151"/>
      <c r="AE21" s="9"/>
      <c r="AF21" s="9"/>
      <c r="AG21" s="9"/>
      <c r="AH21" s="401"/>
      <c r="AI21" s="400"/>
      <c r="AJ21" s="9"/>
      <c r="AK21" s="9"/>
      <c r="AL21" s="9"/>
      <c r="AM21" s="9"/>
      <c r="AN21" s="9"/>
      <c r="AO21" s="9"/>
      <c r="AP21" s="9"/>
      <c r="AQ21" s="9"/>
      <c r="AR21" s="40"/>
      <c r="AS21" s="9"/>
      <c r="AT21" s="9"/>
      <c r="AU21" s="44"/>
    </row>
    <row r="22" spans="1:47" ht="15" customHeight="1">
      <c r="A22" s="73"/>
      <c r="B22" s="18"/>
      <c r="F22" s="72"/>
      <c r="G22" s="366" t="s">
        <v>305</v>
      </c>
      <c r="H22" s="24" t="s">
        <v>481</v>
      </c>
      <c r="J22" s="402"/>
      <c r="K22" s="301" t="s">
        <v>30</v>
      </c>
      <c r="L22" s="32" t="s">
        <v>496</v>
      </c>
      <c r="T22" s="21"/>
      <c r="U22" s="150" t="s">
        <v>497</v>
      </c>
      <c r="V22" s="40"/>
      <c r="W22" s="40"/>
      <c r="X22" s="426"/>
      <c r="Y22" s="426"/>
      <c r="Z22" s="9" t="s">
        <v>30</v>
      </c>
      <c r="AA22" s="1191"/>
      <c r="AB22" s="1191"/>
      <c r="AC22" s="40" t="s">
        <v>498</v>
      </c>
      <c r="AD22" s="422"/>
      <c r="AE22" s="40"/>
      <c r="AF22" s="423"/>
      <c r="AG22" s="40"/>
      <c r="AH22" s="401"/>
      <c r="AI22" s="143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44"/>
    </row>
    <row r="23" spans="1:47" ht="15" customHeight="1">
      <c r="A23" s="73"/>
      <c r="B23" s="18"/>
      <c r="F23" s="72"/>
      <c r="G23" s="366" t="s">
        <v>305</v>
      </c>
      <c r="H23" s="18" t="s">
        <v>484</v>
      </c>
      <c r="J23" s="402"/>
      <c r="K23" s="301" t="s">
        <v>30</v>
      </c>
      <c r="L23" s="32" t="s">
        <v>496</v>
      </c>
      <c r="T23" s="21"/>
      <c r="U23" s="150" t="s">
        <v>499</v>
      </c>
      <c r="V23" s="28"/>
      <c r="W23" s="28"/>
      <c r="X23" s="403"/>
      <c r="Y23" s="40"/>
      <c r="Z23" s="9" t="s">
        <v>30</v>
      </c>
      <c r="AA23" s="1191"/>
      <c r="AB23" s="1191"/>
      <c r="AC23" s="28" t="s">
        <v>478</v>
      </c>
      <c r="AD23" s="426"/>
      <c r="AE23" s="40"/>
      <c r="AF23" s="423"/>
      <c r="AG23" s="40"/>
      <c r="AH23" s="401"/>
      <c r="AI23" s="400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44"/>
    </row>
    <row r="24" spans="1:47" ht="15" customHeight="1">
      <c r="A24" s="73"/>
      <c r="B24" s="18"/>
      <c r="F24" s="72"/>
      <c r="G24" s="184"/>
      <c r="J24" s="427"/>
      <c r="K24" s="183"/>
      <c r="L24" s="427"/>
      <c r="M24" s="427"/>
      <c r="N24" s="427"/>
      <c r="O24" s="427"/>
      <c r="T24" s="21"/>
      <c r="U24" s="150" t="s">
        <v>500</v>
      </c>
      <c r="V24" s="40"/>
      <c r="W24" s="40"/>
      <c r="X24" s="40"/>
      <c r="Y24" s="40"/>
      <c r="Z24" s="9" t="s">
        <v>30</v>
      </c>
      <c r="AA24" s="1191"/>
      <c r="AB24" s="1191"/>
      <c r="AC24" s="410" t="s">
        <v>487</v>
      </c>
      <c r="AD24" s="417"/>
      <c r="AE24" s="40"/>
      <c r="AF24" s="423"/>
      <c r="AG24" s="40"/>
      <c r="AH24" s="401"/>
      <c r="AI24" s="45"/>
      <c r="AJ24" s="40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44"/>
    </row>
    <row r="25" spans="1:47" ht="15" customHeight="1">
      <c r="A25" s="73"/>
      <c r="B25" s="18"/>
      <c r="C25" s="18"/>
      <c r="F25" s="72"/>
      <c r="G25" s="184" t="s">
        <v>501</v>
      </c>
      <c r="K25" s="183"/>
      <c r="N25" s="305"/>
      <c r="O25" s="305"/>
      <c r="P25" s="428"/>
      <c r="Q25" s="428"/>
      <c r="R25" s="428"/>
      <c r="S25" s="428"/>
      <c r="T25" s="21"/>
      <c r="U25" s="9"/>
      <c r="V25" s="9"/>
      <c r="W25" s="9"/>
      <c r="X25" s="9"/>
      <c r="Y25" s="9"/>
      <c r="Z25" s="9"/>
      <c r="AA25" s="1191"/>
      <c r="AB25" s="1191"/>
      <c r="AC25" s="410"/>
      <c r="AD25" s="9"/>
      <c r="AE25" s="40"/>
      <c r="AF25" s="423"/>
      <c r="AG25" s="40"/>
      <c r="AH25" s="401"/>
      <c r="AI25" s="400"/>
      <c r="AJ25" s="40"/>
      <c r="AK25" s="40"/>
      <c r="AL25" s="40"/>
      <c r="AM25" s="40"/>
      <c r="AN25" s="40"/>
      <c r="AO25" s="404"/>
      <c r="AP25" s="405"/>
      <c r="AQ25" s="9"/>
      <c r="AR25" s="9"/>
      <c r="AS25" s="9"/>
      <c r="AT25" s="9"/>
      <c r="AU25" s="44"/>
    </row>
    <row r="26" spans="1:47" ht="15" customHeight="1">
      <c r="A26" s="73"/>
      <c r="B26" s="18"/>
      <c r="C26" s="18"/>
      <c r="F26" s="72"/>
      <c r="G26" s="366" t="s">
        <v>305</v>
      </c>
      <c r="H26" s="24" t="s">
        <v>481</v>
      </c>
      <c r="I26" s="92"/>
      <c r="J26" s="402"/>
      <c r="K26" s="301" t="s">
        <v>30</v>
      </c>
      <c r="L26" s="126" t="s">
        <v>502</v>
      </c>
      <c r="M26" s="18" t="s">
        <v>492</v>
      </c>
      <c r="N26" s="305"/>
      <c r="O26" s="305"/>
      <c r="P26" s="428"/>
      <c r="Q26" s="428"/>
      <c r="R26" s="428"/>
      <c r="S26" s="93"/>
      <c r="T26" s="21"/>
      <c r="U26" s="414" t="s">
        <v>755</v>
      </c>
      <c r="V26" s="9"/>
      <c r="W26" s="9"/>
      <c r="X26" s="9"/>
      <c r="Y26" s="9"/>
      <c r="Z26" s="9"/>
      <c r="AA26" s="9"/>
      <c r="AB26" s="9" t="s">
        <v>503</v>
      </c>
      <c r="AC26" s="9"/>
      <c r="AD26" s="9"/>
      <c r="AE26" s="40"/>
      <c r="AF26" s="423"/>
      <c r="AG26" s="40"/>
      <c r="AH26" s="401"/>
      <c r="AI26" s="400"/>
      <c r="AJ26" s="40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44"/>
    </row>
    <row r="27" spans="1:47" ht="15" customHeight="1">
      <c r="A27" s="73"/>
      <c r="B27" s="18"/>
      <c r="C27" s="18"/>
      <c r="F27" s="72"/>
      <c r="G27" s="366" t="s">
        <v>305</v>
      </c>
      <c r="H27" s="18" t="s">
        <v>484</v>
      </c>
      <c r="I27" s="77"/>
      <c r="J27" s="402"/>
      <c r="K27" s="301" t="s">
        <v>30</v>
      </c>
      <c r="L27" s="126" t="s">
        <v>502</v>
      </c>
      <c r="M27" s="18" t="s">
        <v>492</v>
      </c>
      <c r="N27" s="93"/>
      <c r="O27" s="93"/>
      <c r="P27" s="93"/>
      <c r="Q27" s="93"/>
      <c r="R27" s="93"/>
      <c r="S27" s="93"/>
      <c r="U27" s="143" t="s">
        <v>504</v>
      </c>
      <c r="V27" s="9"/>
      <c r="W27" s="28"/>
      <c r="X27" s="40"/>
      <c r="Y27" s="39" t="s">
        <v>505</v>
      </c>
      <c r="Z27" s="9" t="s">
        <v>30</v>
      </c>
      <c r="AA27" s="403"/>
      <c r="AB27" s="9"/>
      <c r="AC27" s="417" t="s">
        <v>756</v>
      </c>
      <c r="AD27" s="9" t="s">
        <v>757</v>
      </c>
      <c r="AE27" s="9"/>
      <c r="AF27" s="423" t="s">
        <v>758</v>
      </c>
      <c r="AG27" s="9"/>
      <c r="AH27" s="401" t="s">
        <v>506</v>
      </c>
      <c r="AI27" s="45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44"/>
    </row>
    <row r="28" spans="1:47" ht="15" customHeight="1">
      <c r="A28" s="73"/>
      <c r="B28" s="18"/>
      <c r="C28" s="18"/>
      <c r="F28" s="72"/>
      <c r="G28" s="73"/>
      <c r="I28" s="93"/>
      <c r="J28" s="93"/>
      <c r="K28" s="294"/>
      <c r="L28" s="93"/>
      <c r="M28" s="93"/>
      <c r="N28" s="93"/>
      <c r="O28" s="93"/>
      <c r="P28" s="93"/>
      <c r="Q28" s="93"/>
      <c r="R28" s="93"/>
      <c r="S28" s="93"/>
      <c r="U28" s="143" t="s">
        <v>507</v>
      </c>
      <c r="V28" s="9"/>
      <c r="W28" s="40"/>
      <c r="X28" s="151"/>
      <c r="Y28" s="39" t="s">
        <v>505</v>
      </c>
      <c r="Z28" s="9" t="s">
        <v>30</v>
      </c>
      <c r="AA28" s="403"/>
      <c r="AB28" s="403"/>
      <c r="AC28" s="417" t="s">
        <v>756</v>
      </c>
      <c r="AD28" s="9" t="s">
        <v>757</v>
      </c>
      <c r="AE28" s="9"/>
      <c r="AF28" s="423" t="s">
        <v>758</v>
      </c>
      <c r="AG28" s="9"/>
      <c r="AH28" s="401" t="s">
        <v>506</v>
      </c>
      <c r="AI28" s="45"/>
      <c r="AJ28" s="9"/>
      <c r="AK28" s="40"/>
      <c r="AL28" s="40"/>
      <c r="AM28" s="40"/>
      <c r="AN28" s="40"/>
      <c r="AO28" s="40"/>
      <c r="AP28" s="405"/>
      <c r="AQ28" s="405"/>
      <c r="AR28" s="405"/>
      <c r="AS28" s="9"/>
      <c r="AT28" s="9"/>
      <c r="AU28" s="44"/>
    </row>
    <row r="29" spans="1:47" ht="15" customHeight="1">
      <c r="A29" s="73"/>
      <c r="F29" s="72"/>
      <c r="G29" s="418"/>
      <c r="H29" s="429"/>
      <c r="U29" s="430" t="s">
        <v>508</v>
      </c>
      <c r="V29" s="9"/>
      <c r="W29" s="40"/>
      <c r="X29" s="40"/>
      <c r="Y29" s="39" t="s">
        <v>505</v>
      </c>
      <c r="Z29" s="9" t="s">
        <v>30</v>
      </c>
      <c r="AA29" s="403"/>
      <c r="AB29" s="9"/>
      <c r="AC29" s="417" t="s">
        <v>756</v>
      </c>
      <c r="AD29" s="9" t="s">
        <v>757</v>
      </c>
      <c r="AE29" s="9"/>
      <c r="AF29" s="9" t="s">
        <v>758</v>
      </c>
      <c r="AG29" s="9"/>
      <c r="AH29" s="401" t="s">
        <v>506</v>
      </c>
      <c r="AI29" s="431"/>
      <c r="AJ29" s="432"/>
      <c r="AK29" s="432"/>
      <c r="AL29" s="432"/>
      <c r="AM29" s="432"/>
      <c r="AN29" s="432"/>
      <c r="AO29" s="432"/>
      <c r="AP29" s="432"/>
      <c r="AQ29" s="432"/>
      <c r="AR29" s="432"/>
      <c r="AS29" s="432"/>
      <c r="AT29" s="432"/>
      <c r="AU29" s="433"/>
    </row>
    <row r="30" spans="1:47" ht="15" customHeight="1">
      <c r="A30" s="118"/>
      <c r="B30" s="117"/>
      <c r="C30" s="117"/>
      <c r="D30" s="117"/>
      <c r="E30" s="117"/>
      <c r="F30" s="114"/>
      <c r="G30" s="118"/>
      <c r="H30" s="115"/>
      <c r="I30" s="115"/>
      <c r="J30" s="115"/>
      <c r="K30" s="115"/>
      <c r="L30" s="115"/>
      <c r="M30" s="115"/>
      <c r="N30" s="115"/>
      <c r="O30" s="115"/>
      <c r="P30" s="115"/>
      <c r="Q30" s="115"/>
      <c r="R30" s="115"/>
      <c r="S30" s="115"/>
      <c r="T30" s="117"/>
      <c r="U30" s="118"/>
      <c r="V30" s="115"/>
      <c r="W30" s="115"/>
      <c r="X30" s="115"/>
      <c r="Y30" s="115"/>
      <c r="Z30" s="115"/>
      <c r="AA30" s="115"/>
      <c r="AB30" s="115"/>
      <c r="AC30" s="115"/>
      <c r="AD30" s="115"/>
      <c r="AE30" s="115"/>
      <c r="AF30" s="117"/>
      <c r="AG30" s="117"/>
      <c r="AH30" s="122"/>
      <c r="AI30" s="76"/>
      <c r="AU30" s="21"/>
    </row>
    <row r="31" spans="1:47" ht="15" customHeight="1">
      <c r="A31" s="73" t="s">
        <v>509</v>
      </c>
      <c r="F31" s="72"/>
      <c r="G31" s="68" t="s">
        <v>510</v>
      </c>
      <c r="L31" s="861"/>
      <c r="M31" s="861"/>
      <c r="N31" s="861"/>
      <c r="O31" s="861"/>
      <c r="P31" s="861"/>
      <c r="U31" s="68" t="s">
        <v>511</v>
      </c>
      <c r="AH31" s="434" t="s">
        <v>201</v>
      </c>
      <c r="AI31" s="606"/>
      <c r="AJ31" s="27"/>
      <c r="AK31" s="27"/>
      <c r="AL31" s="27"/>
      <c r="AU31" s="21"/>
    </row>
    <row r="32" spans="1:47" ht="15" customHeight="1">
      <c r="A32" s="73"/>
      <c r="F32" s="72"/>
      <c r="G32" s="73"/>
      <c r="J32" s="127" t="s">
        <v>512</v>
      </c>
      <c r="K32" s="127" t="s">
        <v>513</v>
      </c>
      <c r="L32" s="127"/>
      <c r="M32" s="80" t="s">
        <v>514</v>
      </c>
      <c r="N32" s="127" t="s">
        <v>515</v>
      </c>
      <c r="O32" s="127"/>
      <c r="P32" s="80" t="s">
        <v>516</v>
      </c>
      <c r="U32" s="73"/>
      <c r="AG32" s="16"/>
      <c r="AH32" s="21"/>
      <c r="AI32" s="606"/>
      <c r="AJ32" s="27"/>
      <c r="AK32" s="27"/>
      <c r="AL32" s="27"/>
      <c r="AU32" s="21"/>
    </row>
    <row r="33" spans="1:47" ht="15" customHeight="1">
      <c r="A33" s="73"/>
      <c r="F33" s="72"/>
      <c r="G33" s="73"/>
      <c r="H33" s="15"/>
      <c r="I33" s="15"/>
      <c r="L33" s="15"/>
      <c r="M33" s="15"/>
      <c r="N33" s="15"/>
      <c r="O33" s="15"/>
      <c r="P33" s="15"/>
      <c r="Q33" s="15"/>
      <c r="R33" s="15"/>
      <c r="S33" s="15"/>
      <c r="U33" s="73"/>
      <c r="W33" s="15"/>
      <c r="X33" s="15"/>
      <c r="Y33" s="15"/>
      <c r="Z33" s="15"/>
      <c r="AA33" s="15"/>
      <c r="AB33" s="15"/>
      <c r="AC33" s="15"/>
      <c r="AD33" s="15"/>
      <c r="AE33" s="107"/>
      <c r="AF33" s="107"/>
      <c r="AG33" s="107"/>
      <c r="AH33" s="21"/>
      <c r="AI33" s="45"/>
      <c r="AJ33" s="40"/>
      <c r="AK33" s="40"/>
      <c r="AL33" s="40"/>
      <c r="AM33" s="40"/>
      <c r="AN33" s="40"/>
      <c r="AO33" s="40"/>
      <c r="AP33" s="9"/>
      <c r="AQ33" s="9"/>
      <c r="AR33" s="9"/>
      <c r="AS33" s="9"/>
      <c r="AT33" s="9"/>
      <c r="AU33" s="44"/>
    </row>
    <row r="34" spans="1:47" ht="15" customHeight="1">
      <c r="A34" s="73"/>
      <c r="F34" s="72"/>
      <c r="G34" s="73"/>
      <c r="I34" s="435"/>
      <c r="J34" s="15"/>
      <c r="L34" s="16"/>
      <c r="M34" s="146"/>
      <c r="N34" s="93"/>
      <c r="O34" s="15"/>
      <c r="P34" s="861"/>
      <c r="Q34" s="861"/>
      <c r="R34" s="435"/>
      <c r="S34" s="436"/>
      <c r="U34" s="73"/>
      <c r="Y34" s="96"/>
      <c r="AB34" s="270"/>
      <c r="AC34" s="15"/>
      <c r="AD34" s="15"/>
      <c r="AE34" s="107"/>
      <c r="AF34" s="107"/>
      <c r="AG34" s="107"/>
      <c r="AH34" s="21"/>
      <c r="AI34" s="45"/>
      <c r="AJ34" s="40"/>
      <c r="AK34" s="40"/>
      <c r="AL34" s="9"/>
      <c r="AM34" s="9"/>
      <c r="AN34" s="9"/>
      <c r="AO34" s="9"/>
      <c r="AP34" s="9"/>
      <c r="AQ34" s="9"/>
      <c r="AR34" s="40"/>
      <c r="AS34" s="9"/>
      <c r="AT34" s="9"/>
      <c r="AU34" s="44"/>
    </row>
    <row r="35" spans="1:47" ht="15" customHeight="1">
      <c r="A35" s="73"/>
      <c r="F35" s="72"/>
      <c r="G35" s="73"/>
      <c r="I35" s="15"/>
      <c r="J35" s="15"/>
      <c r="K35" s="15"/>
      <c r="N35" s="226"/>
      <c r="O35" s="15"/>
      <c r="P35" s="15"/>
      <c r="Q35" s="436"/>
      <c r="R35" s="436"/>
      <c r="S35" s="436"/>
      <c r="U35" s="73"/>
      <c r="Y35" s="96"/>
      <c r="AB35" s="270"/>
      <c r="AC35" s="15"/>
      <c r="AD35" s="15"/>
      <c r="AE35" s="107"/>
      <c r="AF35" s="107"/>
      <c r="AG35" s="107"/>
      <c r="AH35" s="21"/>
      <c r="AI35" s="45"/>
      <c r="AJ35" s="40"/>
      <c r="AK35" s="40"/>
      <c r="AL35" s="40"/>
      <c r="AM35" s="437"/>
      <c r="AN35" s="161"/>
      <c r="AO35" s="161"/>
      <c r="AP35" s="437"/>
      <c r="AQ35" s="161"/>
      <c r="AR35" s="161"/>
      <c r="AS35" s="9"/>
      <c r="AT35" s="9"/>
      <c r="AU35" s="44"/>
    </row>
    <row r="36" spans="1:47" ht="15" customHeight="1">
      <c r="A36" s="73"/>
      <c r="F36" s="72"/>
      <c r="G36" s="73"/>
      <c r="N36" s="226"/>
      <c r="O36" s="15"/>
      <c r="P36" s="15"/>
      <c r="Q36" s="436"/>
      <c r="R36" s="436"/>
      <c r="S36" s="436"/>
      <c r="U36" s="73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1"/>
      <c r="AI36" s="45"/>
      <c r="AJ36" s="414"/>
      <c r="AK36" s="9"/>
      <c r="AL36" s="9"/>
      <c r="AM36" s="9"/>
      <c r="AN36" s="9"/>
      <c r="AO36" s="161"/>
      <c r="AP36" s="437"/>
      <c r="AQ36" s="161"/>
      <c r="AR36" s="161"/>
      <c r="AS36" s="9"/>
      <c r="AT36" s="9"/>
      <c r="AU36" s="44"/>
    </row>
    <row r="37" spans="1:47" ht="15" customHeight="1">
      <c r="A37" s="73"/>
      <c r="F37" s="72"/>
      <c r="G37" s="73"/>
      <c r="N37" s="226"/>
      <c r="O37" s="15"/>
      <c r="P37" s="15"/>
      <c r="Q37" s="436"/>
      <c r="R37" s="436"/>
      <c r="S37" s="436"/>
      <c r="U37" s="73"/>
      <c r="V37" s="24"/>
      <c r="W37" s="24"/>
      <c r="X37" s="24"/>
      <c r="Y37" s="24"/>
      <c r="Z37" s="24"/>
      <c r="AA37" s="24"/>
      <c r="AB37" s="24"/>
      <c r="AC37" s="24"/>
      <c r="AD37" s="24"/>
      <c r="AE37" s="15"/>
      <c r="AG37" s="18"/>
      <c r="AH37" s="21"/>
      <c r="AI37" s="45"/>
      <c r="AJ37" s="40"/>
      <c r="AK37" s="40"/>
      <c r="AL37" s="40"/>
      <c r="AM37" s="40"/>
      <c r="AN37" s="40"/>
      <c r="AO37" s="9"/>
      <c r="AP37" s="9"/>
      <c r="AQ37" s="9"/>
      <c r="AR37" s="9"/>
      <c r="AS37" s="9"/>
      <c r="AT37" s="9"/>
      <c r="AU37" s="44"/>
    </row>
    <row r="38" spans="1:47" ht="15" customHeight="1">
      <c r="A38" s="73"/>
      <c r="F38" s="72"/>
      <c r="G38" s="73"/>
      <c r="J38" s="15"/>
      <c r="K38" s="15"/>
      <c r="O38" s="15"/>
      <c r="P38" s="80"/>
      <c r="Q38" s="436"/>
      <c r="R38" s="436"/>
      <c r="S38" s="436"/>
      <c r="U38" s="73"/>
      <c r="Y38" s="382"/>
      <c r="Z38" s="201"/>
      <c r="AA38" s="383"/>
      <c r="AB38" s="305"/>
      <c r="AC38" s="438"/>
      <c r="AD38" s="438"/>
      <c r="AE38" s="438"/>
      <c r="AF38" s="438"/>
      <c r="AG38" s="438"/>
      <c r="AH38" s="21"/>
      <c r="AI38" s="45"/>
      <c r="AJ38" s="40"/>
      <c r="AK38" s="40"/>
      <c r="AL38" s="9"/>
      <c r="AM38" s="9"/>
      <c r="AN38" s="9"/>
      <c r="AO38" s="9"/>
      <c r="AP38" s="9"/>
      <c r="AQ38" s="9"/>
      <c r="AR38" s="9"/>
      <c r="AS38" s="9"/>
      <c r="AT38" s="9"/>
      <c r="AU38" s="44"/>
    </row>
    <row r="39" spans="1:47" ht="15" customHeight="1">
      <c r="A39" s="73"/>
      <c r="F39" s="72"/>
      <c r="G39" s="73"/>
      <c r="J39" s="15"/>
      <c r="K39" s="15"/>
      <c r="O39" s="15"/>
      <c r="P39" s="15"/>
      <c r="Q39" s="436"/>
      <c r="R39" s="436"/>
      <c r="S39" s="436"/>
      <c r="U39" s="73"/>
      <c r="Y39" s="382"/>
      <c r="Z39" s="201"/>
      <c r="AA39" s="383"/>
      <c r="AB39" s="305"/>
      <c r="AC39" s="438"/>
      <c r="AD39" s="438"/>
      <c r="AE39" s="438"/>
      <c r="AF39" s="438"/>
      <c r="AG39" s="438"/>
      <c r="AH39" s="21"/>
      <c r="AI39" s="45"/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44"/>
    </row>
    <row r="40" spans="1:47" ht="15" customHeight="1">
      <c r="A40" s="73"/>
      <c r="F40" s="72"/>
      <c r="G40" s="76"/>
      <c r="P40" s="15"/>
      <c r="Q40" s="436"/>
      <c r="R40" s="436"/>
      <c r="S40" s="436"/>
      <c r="U40" s="73"/>
      <c r="AB40" s="96"/>
      <c r="AH40" s="21"/>
      <c r="AI40" s="45"/>
      <c r="AJ40" s="9"/>
      <c r="AK40" s="9"/>
      <c r="AL40" s="9"/>
      <c r="AM40" s="9"/>
      <c r="AN40" s="9"/>
      <c r="AO40" s="9"/>
      <c r="AP40" s="9"/>
      <c r="AQ40" s="9"/>
      <c r="AR40" s="9"/>
      <c r="AS40" s="9"/>
      <c r="AT40" s="9"/>
      <c r="AU40" s="44"/>
    </row>
    <row r="41" spans="1:47" ht="15" customHeight="1">
      <c r="A41" s="73"/>
      <c r="F41" s="72"/>
      <c r="G41" s="73"/>
      <c r="K41" s="15"/>
      <c r="M41" s="24"/>
      <c r="N41" s="24"/>
      <c r="O41" s="24"/>
      <c r="P41" s="15"/>
      <c r="Q41" s="436"/>
      <c r="R41" s="436"/>
      <c r="S41" s="436"/>
      <c r="U41" s="73"/>
      <c r="AH41" s="21"/>
      <c r="AI41" s="45"/>
      <c r="AJ41" s="9"/>
      <c r="AK41" s="9"/>
      <c r="AL41" s="9"/>
      <c r="AM41" s="9"/>
      <c r="AN41" s="9"/>
      <c r="AO41" s="9"/>
      <c r="AP41" s="9"/>
      <c r="AQ41" s="9"/>
      <c r="AR41" s="9"/>
      <c r="AS41" s="9"/>
      <c r="AT41" s="9"/>
      <c r="AU41" s="44"/>
    </row>
    <row r="42" spans="1:47" ht="15" customHeight="1">
      <c r="A42" s="73"/>
      <c r="F42" s="72"/>
      <c r="G42" s="73" t="s">
        <v>517</v>
      </c>
      <c r="M42" s="24"/>
      <c r="N42" s="24"/>
      <c r="O42" s="24"/>
      <c r="P42" s="15"/>
      <c r="Q42" s="436"/>
      <c r="R42" s="436"/>
      <c r="S42" s="435" t="s">
        <v>518</v>
      </c>
      <c r="U42" s="73"/>
      <c r="V42" s="30"/>
      <c r="AH42" s="21"/>
      <c r="AI42" s="45"/>
      <c r="AJ42" s="439"/>
      <c r="AK42" s="9"/>
      <c r="AL42" s="9"/>
      <c r="AM42" s="9"/>
      <c r="AN42" s="9"/>
      <c r="AO42" s="9"/>
      <c r="AP42" s="9"/>
      <c r="AQ42" s="9"/>
      <c r="AR42" s="9"/>
      <c r="AS42" s="9"/>
      <c r="AT42" s="9"/>
      <c r="AU42" s="44"/>
    </row>
    <row r="43" spans="1:47" ht="15" customHeight="1">
      <c r="A43" s="73"/>
      <c r="F43" s="72"/>
      <c r="G43" s="73"/>
      <c r="J43" s="18" t="s">
        <v>519</v>
      </c>
      <c r="K43" s="16" t="s">
        <v>520</v>
      </c>
      <c r="M43" s="93" t="s">
        <v>521</v>
      </c>
      <c r="N43" s="15" t="s">
        <v>522</v>
      </c>
      <c r="O43" s="15"/>
      <c r="P43" s="15" t="s">
        <v>523</v>
      </c>
      <c r="Q43" s="436"/>
      <c r="R43" s="436"/>
      <c r="S43" s="436"/>
      <c r="U43" s="73"/>
      <c r="AH43" s="21"/>
      <c r="AI43" s="45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44"/>
    </row>
    <row r="44" spans="1:47" ht="15" customHeight="1">
      <c r="A44" s="73"/>
      <c r="F44" s="72"/>
      <c r="G44" s="73"/>
      <c r="P44" s="15"/>
      <c r="Q44" s="436"/>
      <c r="R44" s="436"/>
      <c r="S44" s="436"/>
      <c r="U44" s="73"/>
      <c r="AH44" s="21"/>
      <c r="AI44" s="45"/>
      <c r="AJ44" s="9"/>
      <c r="AK44" s="9"/>
      <c r="AL44" s="9"/>
      <c r="AM44" s="9"/>
      <c r="AN44" s="9"/>
      <c r="AO44" s="9"/>
      <c r="AP44" s="9"/>
      <c r="AQ44" s="9"/>
      <c r="AR44" s="9"/>
      <c r="AS44" s="9"/>
      <c r="AT44" s="9"/>
      <c r="AU44" s="44"/>
    </row>
    <row r="45" spans="1:47" ht="15" customHeight="1">
      <c r="A45" s="73"/>
      <c r="F45" s="72"/>
      <c r="G45" s="73"/>
      <c r="L45" s="15"/>
      <c r="N45" s="93"/>
      <c r="O45" s="15"/>
      <c r="U45" s="73"/>
      <c r="AH45" s="21"/>
      <c r="AI45" s="45"/>
      <c r="AJ45" s="9"/>
      <c r="AK45" s="9"/>
      <c r="AL45" s="9"/>
      <c r="AM45" s="9"/>
      <c r="AN45" s="9"/>
      <c r="AO45" s="9"/>
      <c r="AP45" s="9"/>
      <c r="AQ45" s="9"/>
      <c r="AR45" s="9"/>
      <c r="AS45" s="9"/>
      <c r="AT45" s="9"/>
      <c r="AU45" s="44"/>
    </row>
    <row r="46" spans="1:47" ht="15" customHeight="1">
      <c r="A46" s="73"/>
      <c r="B46" s="18"/>
      <c r="C46" s="18"/>
      <c r="D46" s="18"/>
      <c r="E46" s="18"/>
      <c r="F46" s="72"/>
      <c r="G46" s="73"/>
      <c r="K46" s="861" t="s">
        <v>200</v>
      </c>
      <c r="L46" s="861"/>
      <c r="M46" s="861"/>
      <c r="N46" s="861"/>
      <c r="O46" s="861"/>
      <c r="P46" s="32"/>
      <c r="Q46" s="32"/>
      <c r="U46" s="73"/>
      <c r="AG46" s="861" t="str">
        <f>IF(OR(Z47&lt;S48,AB47&lt;S48,AD47&lt;S48,AF47&lt;S48,Z47&gt;S49,AB47&gt;S49,AD47&gt;S49,AF47&gt;S49),"**Unacceptable**","Acceptable")</f>
        <v>**Unacceptable**</v>
      </c>
      <c r="AH46" s="1188"/>
      <c r="AI46" s="45"/>
      <c r="AJ46" s="9"/>
      <c r="AK46" s="9"/>
      <c r="AL46" s="9"/>
      <c r="AM46" s="9"/>
      <c r="AN46" s="9"/>
      <c r="AO46" s="9"/>
      <c r="AP46" s="9"/>
      <c r="AQ46" s="9"/>
      <c r="AR46" s="9"/>
      <c r="AS46" s="9"/>
      <c r="AT46" s="9"/>
      <c r="AU46" s="44"/>
    </row>
    <row r="47" spans="1:47" ht="15" customHeight="1">
      <c r="A47" s="73"/>
      <c r="B47" s="18"/>
      <c r="C47" s="18"/>
      <c r="D47" s="18"/>
      <c r="E47" s="18"/>
      <c r="F47" s="72"/>
      <c r="G47" s="73"/>
      <c r="U47" s="68" t="s">
        <v>524</v>
      </c>
      <c r="X47" s="24"/>
      <c r="Y47" s="15" t="s">
        <v>30</v>
      </c>
      <c r="Z47" s="403"/>
      <c r="AA47" s="440"/>
      <c r="AB47" s="403"/>
      <c r="AC47" s="440"/>
      <c r="AD47" s="403"/>
      <c r="AE47" s="441"/>
      <c r="AF47" s="403"/>
      <c r="AG47" s="24"/>
      <c r="AH47" s="21"/>
      <c r="AI47" s="143"/>
      <c r="AJ47" s="40"/>
      <c r="AK47" s="40"/>
      <c r="AL47" s="40"/>
      <c r="AM47" s="40"/>
      <c r="AN47" s="40"/>
      <c r="AO47" s="40"/>
      <c r="AP47" s="40"/>
      <c r="AQ47" s="9"/>
      <c r="AR47" s="9"/>
      <c r="AS47" s="9"/>
      <c r="AT47" s="9"/>
      <c r="AU47" s="44"/>
    </row>
    <row r="48" spans="1:47" ht="15" customHeight="1">
      <c r="A48" s="73"/>
      <c r="B48" s="18"/>
      <c r="C48" s="18"/>
      <c r="D48" s="18"/>
      <c r="E48" s="18"/>
      <c r="F48" s="72"/>
      <c r="G48" s="442" t="s">
        <v>525</v>
      </c>
      <c r="R48" s="443" t="s">
        <v>30</v>
      </c>
      <c r="S48" s="444">
        <v>2.5</v>
      </c>
      <c r="T48" s="443" t="s">
        <v>90</v>
      </c>
      <c r="U48" s="73"/>
      <c r="AF48" s="18"/>
      <c r="AG48" s="18"/>
      <c r="AH48" s="21"/>
      <c r="AI48" s="143"/>
      <c r="AJ48" s="40"/>
      <c r="AK48" s="40"/>
      <c r="AL48" s="40"/>
      <c r="AM48" s="40"/>
      <c r="AN48" s="40"/>
      <c r="AO48" s="40"/>
      <c r="AP48" s="40"/>
      <c r="AQ48" s="9"/>
      <c r="AR48" s="9"/>
      <c r="AS48" s="9"/>
      <c r="AT48" s="9"/>
      <c r="AU48" s="44"/>
    </row>
    <row r="49" spans="1:47" ht="15" customHeight="1">
      <c r="A49" s="73"/>
      <c r="B49" s="18"/>
      <c r="C49" s="18"/>
      <c r="D49" s="18"/>
      <c r="E49" s="18"/>
      <c r="F49" s="72"/>
      <c r="G49" s="442" t="s">
        <v>526</v>
      </c>
      <c r="R49" s="443" t="s">
        <v>30</v>
      </c>
      <c r="S49" s="444">
        <v>3.5</v>
      </c>
      <c r="T49" s="443" t="s">
        <v>90</v>
      </c>
      <c r="U49" s="73"/>
      <c r="Y49" s="15"/>
      <c r="Z49" s="445"/>
      <c r="AA49" s="445"/>
      <c r="AB49" s="162"/>
      <c r="AC49" s="440"/>
      <c r="AD49" s="440"/>
      <c r="AE49" s="440"/>
      <c r="AF49" s="162"/>
      <c r="AG49" s="18"/>
      <c r="AH49" s="21"/>
      <c r="AI49" s="143"/>
      <c r="AJ49" s="40"/>
      <c r="AK49" s="40"/>
      <c r="AL49" s="40"/>
      <c r="AM49" s="40"/>
      <c r="AN49" s="40"/>
      <c r="AO49" s="40"/>
      <c r="AP49" s="40"/>
      <c r="AQ49" s="9"/>
      <c r="AR49" s="9"/>
      <c r="AS49" s="9"/>
      <c r="AT49" s="9"/>
      <c r="AU49" s="44"/>
    </row>
    <row r="50" spans="1:47" ht="15" customHeight="1">
      <c r="A50" s="73"/>
      <c r="B50" s="18"/>
      <c r="C50" s="18"/>
      <c r="D50" s="18"/>
      <c r="E50" s="18"/>
      <c r="F50" s="72"/>
      <c r="G50" s="73"/>
      <c r="U50" s="446"/>
      <c r="V50" s="447"/>
      <c r="W50" s="447"/>
      <c r="X50" s="447"/>
      <c r="Y50" s="125"/>
      <c r="Z50" s="125"/>
      <c r="AA50" s="15"/>
      <c r="AB50" s="15"/>
      <c r="AC50" s="125"/>
      <c r="AD50" s="125"/>
      <c r="AE50" s="862"/>
      <c r="AF50" s="862"/>
      <c r="AG50" s="447"/>
      <c r="AH50" s="196"/>
      <c r="AI50" s="143"/>
      <c r="AJ50" s="40"/>
      <c r="AK50" s="40"/>
      <c r="AL50" s="40"/>
      <c r="AM50" s="40"/>
      <c r="AN50" s="40"/>
      <c r="AO50" s="40"/>
      <c r="AP50" s="40"/>
      <c r="AQ50" s="9"/>
      <c r="AR50" s="9"/>
      <c r="AS50" s="9"/>
      <c r="AT50" s="9"/>
      <c r="AU50" s="44"/>
    </row>
    <row r="51" spans="1:47" ht="12.6" customHeight="1">
      <c r="A51" s="118"/>
      <c r="B51" s="115"/>
      <c r="C51" s="115"/>
      <c r="D51" s="115"/>
      <c r="E51" s="115"/>
      <c r="F51" s="114"/>
      <c r="G51" s="118"/>
      <c r="H51" s="115"/>
      <c r="I51" s="115"/>
      <c r="J51" s="115"/>
      <c r="K51" s="115"/>
      <c r="L51" s="115"/>
      <c r="M51" s="115"/>
      <c r="N51" s="115"/>
      <c r="O51" s="115"/>
      <c r="P51" s="115"/>
      <c r="Q51" s="115"/>
      <c r="R51" s="115"/>
      <c r="S51" s="115"/>
      <c r="T51" s="117"/>
      <c r="U51" s="118"/>
      <c r="V51" s="115"/>
      <c r="W51" s="115"/>
      <c r="X51" s="115"/>
      <c r="Y51" s="115"/>
      <c r="Z51" s="115"/>
      <c r="AA51" s="115"/>
      <c r="AB51" s="115"/>
      <c r="AC51" s="115"/>
      <c r="AD51" s="115"/>
      <c r="AE51" s="115"/>
      <c r="AF51" s="117"/>
      <c r="AG51" s="117"/>
      <c r="AH51" s="122"/>
      <c r="AI51" s="118"/>
      <c r="AJ51" s="115"/>
      <c r="AK51" s="115"/>
      <c r="AL51" s="115"/>
      <c r="AM51" s="115"/>
      <c r="AN51" s="115"/>
      <c r="AO51" s="115"/>
      <c r="AP51" s="115"/>
      <c r="AQ51" s="117"/>
      <c r="AR51" s="117"/>
      <c r="AS51" s="117"/>
      <c r="AT51" s="117"/>
      <c r="AU51" s="122"/>
    </row>
    <row r="52" spans="1:47" ht="12.6" customHeight="1">
      <c r="A52" s="73" t="s">
        <v>527</v>
      </c>
      <c r="B52" s="18"/>
      <c r="C52" s="18"/>
      <c r="D52" s="18"/>
      <c r="E52" s="18"/>
      <c r="F52" s="72"/>
      <c r="G52" s="68" t="s">
        <v>528</v>
      </c>
      <c r="U52" s="68" t="s">
        <v>529</v>
      </c>
      <c r="AA52" s="15"/>
      <c r="AH52" s="21"/>
      <c r="AI52" s="68"/>
      <c r="AJ52" s="18"/>
      <c r="AK52" s="18"/>
      <c r="AL52" s="18"/>
      <c r="AM52" s="18"/>
      <c r="AN52" s="18"/>
      <c r="AO52" s="18"/>
      <c r="AP52" s="18"/>
      <c r="AU52" s="21"/>
    </row>
    <row r="53" spans="1:47" ht="12.6" customHeight="1">
      <c r="A53" s="73"/>
      <c r="B53" s="18"/>
      <c r="C53" s="18"/>
      <c r="D53" s="18"/>
      <c r="E53" s="18"/>
      <c r="F53" s="72"/>
      <c r="G53" s="73"/>
      <c r="U53" s="448" t="s">
        <v>530</v>
      </c>
      <c r="V53" s="449"/>
      <c r="W53" s="449"/>
      <c r="X53" s="449"/>
      <c r="Y53" s="449"/>
      <c r="Z53" s="449"/>
      <c r="AA53" s="449"/>
      <c r="AB53" s="449"/>
      <c r="AC53" s="449"/>
      <c r="AD53" s="449"/>
      <c r="AH53" s="21"/>
      <c r="AI53" s="73"/>
      <c r="AJ53" s="18"/>
      <c r="AK53" s="18"/>
      <c r="AL53" s="18"/>
      <c r="AM53" s="18"/>
      <c r="AN53" s="18"/>
      <c r="AO53" s="18"/>
      <c r="AP53" s="18"/>
      <c r="AU53" s="21"/>
    </row>
    <row r="54" spans="1:47" ht="12.6" customHeight="1">
      <c r="A54" s="73"/>
      <c r="B54" s="18"/>
      <c r="C54" s="18"/>
      <c r="D54" s="18"/>
      <c r="E54" s="18"/>
      <c r="F54" s="72"/>
      <c r="G54" s="1166" t="s">
        <v>531</v>
      </c>
      <c r="H54" s="1166" t="s">
        <v>532</v>
      </c>
      <c r="I54" s="1166"/>
      <c r="J54" s="1157" t="s">
        <v>533</v>
      </c>
      <c r="K54" s="1164"/>
      <c r="L54" s="1164"/>
      <c r="M54" s="1164"/>
      <c r="N54" s="1158"/>
      <c r="O54" s="1168" t="s">
        <v>534</v>
      </c>
      <c r="P54" s="1169"/>
      <c r="Q54" s="1170"/>
      <c r="R54" s="1166" t="s">
        <v>535</v>
      </c>
      <c r="S54" s="1166"/>
      <c r="T54" s="1166"/>
      <c r="U54" s="1166" t="s">
        <v>531</v>
      </c>
      <c r="V54" s="1157" t="s">
        <v>536</v>
      </c>
      <c r="W54" s="1158"/>
      <c r="X54" s="1161" t="s">
        <v>537</v>
      </c>
      <c r="Y54" s="1162"/>
      <c r="Z54" s="1162"/>
      <c r="AA54" s="1162"/>
      <c r="AB54" s="1163"/>
      <c r="AC54" s="1157" t="s">
        <v>538</v>
      </c>
      <c r="AD54" s="1164"/>
      <c r="AE54" s="1158"/>
      <c r="AF54" s="1157" t="s">
        <v>539</v>
      </c>
      <c r="AG54" s="1164"/>
      <c r="AH54" s="1158"/>
      <c r="AI54" s="73"/>
      <c r="AJ54" s="18"/>
      <c r="AK54" s="18"/>
      <c r="AL54" s="18"/>
      <c r="AM54" s="18"/>
      <c r="AN54" s="18"/>
      <c r="AO54" s="18"/>
      <c r="AP54" s="18"/>
      <c r="AU54" s="21"/>
    </row>
    <row r="55" spans="1:47" ht="12.6" customHeight="1">
      <c r="A55" s="73"/>
      <c r="B55" s="18"/>
      <c r="C55" s="18"/>
      <c r="D55" s="18"/>
      <c r="E55" s="18"/>
      <c r="F55" s="72"/>
      <c r="G55" s="1167"/>
      <c r="H55" s="1167"/>
      <c r="I55" s="1167"/>
      <c r="J55" s="450" t="s">
        <v>540</v>
      </c>
      <c r="K55" s="450" t="s">
        <v>541</v>
      </c>
      <c r="L55" s="450" t="s">
        <v>542</v>
      </c>
      <c r="M55" s="450" t="s">
        <v>543</v>
      </c>
      <c r="N55" s="450" t="s">
        <v>514</v>
      </c>
      <c r="O55" s="1171"/>
      <c r="P55" s="1172"/>
      <c r="Q55" s="1173"/>
      <c r="R55" s="1167"/>
      <c r="S55" s="1167"/>
      <c r="T55" s="1167"/>
      <c r="U55" s="1167"/>
      <c r="V55" s="1159"/>
      <c r="W55" s="1160"/>
      <c r="X55" s="450" t="s">
        <v>544</v>
      </c>
      <c r="Y55" s="450" t="s">
        <v>545</v>
      </c>
      <c r="Z55" s="450" t="s">
        <v>546</v>
      </c>
      <c r="AA55" s="450" t="s">
        <v>547</v>
      </c>
      <c r="AB55" s="450" t="s">
        <v>548</v>
      </c>
      <c r="AC55" s="1159"/>
      <c r="AD55" s="1165"/>
      <c r="AE55" s="1160"/>
      <c r="AF55" s="1159"/>
      <c r="AG55" s="1165"/>
      <c r="AH55" s="1160"/>
      <c r="AI55" s="73"/>
      <c r="AJ55" s="18"/>
      <c r="AK55" s="18"/>
      <c r="AL55" s="18"/>
      <c r="AM55" s="18"/>
      <c r="AN55" s="18"/>
      <c r="AO55" s="18"/>
      <c r="AP55" s="18"/>
      <c r="AU55" s="21"/>
    </row>
    <row r="56" spans="1:47" ht="12.6" customHeight="1">
      <c r="A56" s="73"/>
      <c r="B56" s="18"/>
      <c r="C56" s="18"/>
      <c r="D56" s="18"/>
      <c r="E56" s="18"/>
      <c r="F56" s="72"/>
      <c r="G56" s="451">
        <v>1</v>
      </c>
      <c r="H56" s="1174">
        <v>5</v>
      </c>
      <c r="I56" s="1174"/>
      <c r="J56" s="452" t="s">
        <v>549</v>
      </c>
      <c r="K56" s="452" t="s">
        <v>549</v>
      </c>
      <c r="L56" s="452" t="s">
        <v>549</v>
      </c>
      <c r="M56" s="452" t="s">
        <v>549</v>
      </c>
      <c r="N56" s="452" t="s">
        <v>549</v>
      </c>
      <c r="O56" s="1175">
        <v>14000</v>
      </c>
      <c r="P56" s="1176"/>
      <c r="Q56" s="1177"/>
      <c r="R56" s="1178" t="s">
        <v>550</v>
      </c>
      <c r="S56" s="1179"/>
      <c r="T56" s="1180"/>
      <c r="U56" s="451">
        <v>1</v>
      </c>
      <c r="V56" s="1186">
        <v>5</v>
      </c>
      <c r="W56" s="1187"/>
      <c r="X56" s="452" t="s">
        <v>549</v>
      </c>
      <c r="Y56" s="452" t="s">
        <v>549</v>
      </c>
      <c r="Z56" s="452" t="s">
        <v>549</v>
      </c>
      <c r="AA56" s="452" t="s">
        <v>549</v>
      </c>
      <c r="AB56" s="452" t="s">
        <v>549</v>
      </c>
      <c r="AC56" s="1155"/>
      <c r="AD56" s="1155"/>
      <c r="AE56" s="1155"/>
      <c r="AF56" s="1156"/>
      <c r="AG56" s="1156"/>
      <c r="AH56" s="1156"/>
      <c r="AI56" s="18"/>
      <c r="AJ56" s="18"/>
      <c r="AK56" s="18"/>
      <c r="AL56" s="18"/>
      <c r="AM56" s="18"/>
      <c r="AN56" s="18"/>
      <c r="AO56" s="18"/>
      <c r="AP56" s="18"/>
      <c r="AU56" s="21"/>
    </row>
    <row r="57" spans="1:47" ht="12.6" customHeight="1">
      <c r="A57" s="73"/>
      <c r="B57" s="18"/>
      <c r="C57" s="18"/>
      <c r="D57" s="18"/>
      <c r="E57" s="18"/>
      <c r="F57" s="72"/>
      <c r="G57" s="453">
        <v>2</v>
      </c>
      <c r="H57" s="1133">
        <v>4</v>
      </c>
      <c r="I57" s="1133"/>
      <c r="J57" s="453" t="s">
        <v>549</v>
      </c>
      <c r="K57" s="453" t="s">
        <v>549</v>
      </c>
      <c r="L57" s="453" t="s">
        <v>549</v>
      </c>
      <c r="M57" s="453" t="s">
        <v>549</v>
      </c>
      <c r="N57" s="454" t="s">
        <v>551</v>
      </c>
      <c r="O57" s="1134">
        <v>10500</v>
      </c>
      <c r="P57" s="1135"/>
      <c r="Q57" s="1136"/>
      <c r="R57" s="1181"/>
      <c r="S57" s="1182"/>
      <c r="T57" s="1183"/>
      <c r="U57" s="453">
        <v>2</v>
      </c>
      <c r="V57" s="1137">
        <v>4</v>
      </c>
      <c r="W57" s="1138"/>
      <c r="X57" s="453" t="s">
        <v>549</v>
      </c>
      <c r="Y57" s="453" t="s">
        <v>549</v>
      </c>
      <c r="Z57" s="453" t="s">
        <v>549</v>
      </c>
      <c r="AA57" s="453" t="s">
        <v>549</v>
      </c>
      <c r="AB57" s="454" t="s">
        <v>551</v>
      </c>
      <c r="AC57" s="1149"/>
      <c r="AD57" s="1149"/>
      <c r="AE57" s="1149"/>
      <c r="AF57" s="1150"/>
      <c r="AG57" s="1150"/>
      <c r="AH57" s="1150"/>
      <c r="AI57" s="18"/>
      <c r="AJ57" s="18"/>
      <c r="AK57" s="18"/>
      <c r="AL57" s="18"/>
      <c r="AM57" s="18"/>
      <c r="AN57" s="18"/>
      <c r="AO57" s="18"/>
      <c r="AP57" s="18"/>
      <c r="AU57" s="21"/>
    </row>
    <row r="58" spans="1:47" ht="12.6" customHeight="1">
      <c r="A58" s="73"/>
      <c r="B58" s="18"/>
      <c r="C58" s="18"/>
      <c r="D58" s="18"/>
      <c r="E58" s="18"/>
      <c r="F58" s="72"/>
      <c r="G58" s="453">
        <v>3</v>
      </c>
      <c r="H58" s="1133">
        <v>4</v>
      </c>
      <c r="I58" s="1133"/>
      <c r="J58" s="453" t="s">
        <v>549</v>
      </c>
      <c r="K58" s="453" t="s">
        <v>549</v>
      </c>
      <c r="L58" s="453" t="s">
        <v>549</v>
      </c>
      <c r="M58" s="454" t="s">
        <v>551</v>
      </c>
      <c r="N58" s="453" t="s">
        <v>549</v>
      </c>
      <c r="O58" s="1134">
        <v>10500</v>
      </c>
      <c r="P58" s="1135"/>
      <c r="Q58" s="1136"/>
      <c r="R58" s="1181"/>
      <c r="S58" s="1182"/>
      <c r="T58" s="1183"/>
      <c r="U58" s="453">
        <v>3</v>
      </c>
      <c r="V58" s="1137">
        <v>4</v>
      </c>
      <c r="W58" s="1138"/>
      <c r="X58" s="453" t="s">
        <v>549</v>
      </c>
      <c r="Y58" s="453" t="s">
        <v>549</v>
      </c>
      <c r="Z58" s="453" t="s">
        <v>549</v>
      </c>
      <c r="AA58" s="454" t="s">
        <v>551</v>
      </c>
      <c r="AB58" s="453" t="s">
        <v>549</v>
      </c>
      <c r="AC58" s="1149"/>
      <c r="AD58" s="1149"/>
      <c r="AE58" s="1149"/>
      <c r="AF58" s="1150"/>
      <c r="AG58" s="1150"/>
      <c r="AH58" s="1150"/>
      <c r="AI58" s="18"/>
      <c r="AJ58" s="18"/>
      <c r="AK58" s="18"/>
      <c r="AL58" s="18"/>
      <c r="AM58" s="18"/>
      <c r="AN58" s="18"/>
      <c r="AO58" s="18"/>
      <c r="AP58" s="18"/>
      <c r="AU58" s="21"/>
    </row>
    <row r="59" spans="1:47" ht="12.6" customHeight="1">
      <c r="A59" s="73"/>
      <c r="B59" s="18"/>
      <c r="C59" s="18"/>
      <c r="D59" s="18"/>
      <c r="E59" s="18"/>
      <c r="F59" s="72"/>
      <c r="G59" s="453">
        <v>4</v>
      </c>
      <c r="H59" s="1133">
        <v>4</v>
      </c>
      <c r="I59" s="1133"/>
      <c r="J59" s="453" t="s">
        <v>549</v>
      </c>
      <c r="K59" s="454" t="s">
        <v>551</v>
      </c>
      <c r="L59" s="453" t="s">
        <v>549</v>
      </c>
      <c r="M59" s="453" t="s">
        <v>549</v>
      </c>
      <c r="N59" s="453" t="s">
        <v>549</v>
      </c>
      <c r="O59" s="1134">
        <v>10500</v>
      </c>
      <c r="P59" s="1135"/>
      <c r="Q59" s="1136"/>
      <c r="R59" s="1181"/>
      <c r="S59" s="1182"/>
      <c r="T59" s="1183"/>
      <c r="U59" s="453">
        <v>4</v>
      </c>
      <c r="V59" s="1137">
        <v>4</v>
      </c>
      <c r="W59" s="1138"/>
      <c r="X59" s="453" t="s">
        <v>549</v>
      </c>
      <c r="Y59" s="454" t="s">
        <v>551</v>
      </c>
      <c r="Z59" s="453" t="s">
        <v>549</v>
      </c>
      <c r="AA59" s="453" t="s">
        <v>549</v>
      </c>
      <c r="AB59" s="453" t="s">
        <v>549</v>
      </c>
      <c r="AC59" s="1149"/>
      <c r="AD59" s="1149"/>
      <c r="AE59" s="1149"/>
      <c r="AF59" s="1150"/>
      <c r="AG59" s="1150"/>
      <c r="AH59" s="1150"/>
      <c r="AI59" s="18"/>
      <c r="AJ59" s="18"/>
      <c r="AK59" s="18"/>
      <c r="AL59" s="18"/>
      <c r="AM59" s="18"/>
      <c r="AN59" s="18"/>
      <c r="AO59" s="18"/>
      <c r="AP59" s="18"/>
      <c r="AU59" s="21"/>
    </row>
    <row r="60" spans="1:47" ht="12.6" customHeight="1">
      <c r="A60" s="73"/>
      <c r="F60" s="72"/>
      <c r="G60" s="453">
        <v>5</v>
      </c>
      <c r="H60" s="1133">
        <v>4</v>
      </c>
      <c r="I60" s="1133"/>
      <c r="J60" s="454" t="s">
        <v>551</v>
      </c>
      <c r="K60" s="453" t="s">
        <v>549</v>
      </c>
      <c r="L60" s="453" t="s">
        <v>549</v>
      </c>
      <c r="M60" s="453" t="s">
        <v>549</v>
      </c>
      <c r="N60" s="453" t="s">
        <v>549</v>
      </c>
      <c r="O60" s="1134">
        <v>10500</v>
      </c>
      <c r="P60" s="1135"/>
      <c r="Q60" s="1136"/>
      <c r="R60" s="1181"/>
      <c r="S60" s="1182"/>
      <c r="T60" s="1183"/>
      <c r="U60" s="453">
        <v>5</v>
      </c>
      <c r="V60" s="1137">
        <v>4</v>
      </c>
      <c r="W60" s="1138"/>
      <c r="X60" s="454" t="s">
        <v>551</v>
      </c>
      <c r="Y60" s="453" t="s">
        <v>549</v>
      </c>
      <c r="Z60" s="453" t="s">
        <v>549</v>
      </c>
      <c r="AA60" s="453" t="s">
        <v>549</v>
      </c>
      <c r="AB60" s="453" t="s">
        <v>549</v>
      </c>
      <c r="AC60" s="1149"/>
      <c r="AD60" s="1149"/>
      <c r="AE60" s="1149"/>
      <c r="AF60" s="1150"/>
      <c r="AG60" s="1150"/>
      <c r="AH60" s="1150"/>
      <c r="AI60" s="18"/>
      <c r="AJ60" s="18"/>
      <c r="AK60" s="18"/>
      <c r="AL60" s="18"/>
      <c r="AM60" s="18"/>
      <c r="AN60" s="18"/>
      <c r="AO60" s="18"/>
      <c r="AP60" s="18"/>
      <c r="AR60" s="456"/>
      <c r="AU60" s="21"/>
    </row>
    <row r="61" spans="1:47" ht="12.6" customHeight="1">
      <c r="A61" s="73"/>
      <c r="F61" s="72"/>
      <c r="G61" s="453">
        <v>6</v>
      </c>
      <c r="H61" s="1133">
        <v>3</v>
      </c>
      <c r="I61" s="1133"/>
      <c r="J61" s="453" t="s">
        <v>549</v>
      </c>
      <c r="K61" s="453" t="s">
        <v>549</v>
      </c>
      <c r="L61" s="453" t="s">
        <v>549</v>
      </c>
      <c r="M61" s="454" t="s">
        <v>551</v>
      </c>
      <c r="N61" s="454" t="s">
        <v>551</v>
      </c>
      <c r="O61" s="1134">
        <v>7000</v>
      </c>
      <c r="P61" s="1135"/>
      <c r="Q61" s="1136"/>
      <c r="R61" s="1181"/>
      <c r="S61" s="1182"/>
      <c r="T61" s="1183"/>
      <c r="U61" s="453">
        <v>6</v>
      </c>
      <c r="V61" s="1137">
        <v>3</v>
      </c>
      <c r="W61" s="1138"/>
      <c r="X61" s="453" t="s">
        <v>549</v>
      </c>
      <c r="Y61" s="453" t="s">
        <v>549</v>
      </c>
      <c r="Z61" s="453" t="s">
        <v>549</v>
      </c>
      <c r="AA61" s="454" t="s">
        <v>551</v>
      </c>
      <c r="AB61" s="454" t="s">
        <v>551</v>
      </c>
      <c r="AC61" s="1149"/>
      <c r="AD61" s="1149"/>
      <c r="AE61" s="1149"/>
      <c r="AF61" s="1150"/>
      <c r="AG61" s="1150"/>
      <c r="AH61" s="1150"/>
      <c r="AI61" s="18"/>
      <c r="AJ61" s="18"/>
      <c r="AK61" s="18"/>
      <c r="AL61" s="18"/>
      <c r="AM61" s="18"/>
      <c r="AN61" s="18"/>
      <c r="AO61" s="18"/>
      <c r="AP61" s="18"/>
      <c r="AR61" s="456"/>
      <c r="AU61" s="21"/>
    </row>
    <row r="62" spans="1:47" ht="12.6" customHeight="1">
      <c r="A62" s="73"/>
      <c r="F62" s="72"/>
      <c r="G62" s="453">
        <v>7</v>
      </c>
      <c r="H62" s="1133">
        <v>3</v>
      </c>
      <c r="I62" s="1133"/>
      <c r="J62" s="453" t="s">
        <v>549</v>
      </c>
      <c r="K62" s="454" t="s">
        <v>551</v>
      </c>
      <c r="L62" s="453" t="s">
        <v>549</v>
      </c>
      <c r="M62" s="453" t="s">
        <v>549</v>
      </c>
      <c r="N62" s="454" t="s">
        <v>551</v>
      </c>
      <c r="O62" s="1134">
        <v>7000</v>
      </c>
      <c r="P62" s="1135"/>
      <c r="Q62" s="1136"/>
      <c r="R62" s="1181"/>
      <c r="S62" s="1182"/>
      <c r="T62" s="1183"/>
      <c r="U62" s="453">
        <v>7</v>
      </c>
      <c r="V62" s="1137">
        <v>3</v>
      </c>
      <c r="W62" s="1138"/>
      <c r="X62" s="453" t="s">
        <v>549</v>
      </c>
      <c r="Y62" s="454" t="s">
        <v>551</v>
      </c>
      <c r="Z62" s="453" t="s">
        <v>549</v>
      </c>
      <c r="AA62" s="453" t="s">
        <v>549</v>
      </c>
      <c r="AB62" s="454" t="s">
        <v>551</v>
      </c>
      <c r="AC62" s="1149"/>
      <c r="AD62" s="1149"/>
      <c r="AE62" s="1149"/>
      <c r="AF62" s="1150"/>
      <c r="AG62" s="1150"/>
      <c r="AH62" s="1150"/>
      <c r="AI62" s="18"/>
      <c r="AJ62" s="18"/>
      <c r="AK62" s="18"/>
      <c r="AL62" s="18"/>
      <c r="AM62" s="18"/>
      <c r="AN62" s="18"/>
      <c r="AO62" s="18"/>
      <c r="AP62" s="18"/>
      <c r="AR62" s="456"/>
      <c r="AU62" s="21"/>
    </row>
    <row r="63" spans="1:47" ht="12.6" customHeight="1">
      <c r="A63" s="73"/>
      <c r="F63" s="72"/>
      <c r="G63" s="453">
        <v>8</v>
      </c>
      <c r="H63" s="1133">
        <v>3</v>
      </c>
      <c r="I63" s="1133"/>
      <c r="J63" s="454" t="s">
        <v>551</v>
      </c>
      <c r="K63" s="453" t="s">
        <v>549</v>
      </c>
      <c r="L63" s="453" t="s">
        <v>549</v>
      </c>
      <c r="M63" s="453" t="s">
        <v>549</v>
      </c>
      <c r="N63" s="454" t="s">
        <v>551</v>
      </c>
      <c r="O63" s="1134">
        <v>7000</v>
      </c>
      <c r="P63" s="1135"/>
      <c r="Q63" s="1136"/>
      <c r="R63" s="1181"/>
      <c r="S63" s="1182"/>
      <c r="T63" s="1183"/>
      <c r="U63" s="453">
        <v>8</v>
      </c>
      <c r="V63" s="1137">
        <v>3</v>
      </c>
      <c r="W63" s="1138"/>
      <c r="X63" s="454" t="s">
        <v>551</v>
      </c>
      <c r="Y63" s="453" t="s">
        <v>549</v>
      </c>
      <c r="Z63" s="453" t="s">
        <v>549</v>
      </c>
      <c r="AA63" s="453" t="s">
        <v>549</v>
      </c>
      <c r="AB63" s="454" t="s">
        <v>551</v>
      </c>
      <c r="AC63" s="1149"/>
      <c r="AD63" s="1149"/>
      <c r="AE63" s="1149"/>
      <c r="AF63" s="1150"/>
      <c r="AG63" s="1150"/>
      <c r="AH63" s="1150"/>
      <c r="AI63" s="18"/>
      <c r="AJ63" s="18"/>
      <c r="AK63" s="18"/>
      <c r="AL63" s="18"/>
      <c r="AM63" s="18"/>
      <c r="AN63" s="18"/>
      <c r="AO63" s="18"/>
      <c r="AP63" s="18"/>
      <c r="AU63" s="21"/>
    </row>
    <row r="64" spans="1:47" ht="12.6" customHeight="1">
      <c r="A64" s="73"/>
      <c r="F64" s="72"/>
      <c r="G64" s="453">
        <v>9</v>
      </c>
      <c r="H64" s="1133">
        <v>3</v>
      </c>
      <c r="I64" s="1133"/>
      <c r="J64" s="453" t="s">
        <v>549</v>
      </c>
      <c r="K64" s="454" t="s">
        <v>551</v>
      </c>
      <c r="L64" s="453" t="s">
        <v>549</v>
      </c>
      <c r="M64" s="454" t="s">
        <v>551</v>
      </c>
      <c r="N64" s="453" t="s">
        <v>549</v>
      </c>
      <c r="O64" s="1134">
        <v>7000</v>
      </c>
      <c r="P64" s="1135"/>
      <c r="Q64" s="1136"/>
      <c r="R64" s="1181"/>
      <c r="S64" s="1182"/>
      <c r="T64" s="1183"/>
      <c r="U64" s="453">
        <v>9</v>
      </c>
      <c r="V64" s="1137">
        <v>3</v>
      </c>
      <c r="W64" s="1138"/>
      <c r="X64" s="453" t="s">
        <v>549</v>
      </c>
      <c r="Y64" s="454" t="s">
        <v>551</v>
      </c>
      <c r="Z64" s="453" t="s">
        <v>549</v>
      </c>
      <c r="AA64" s="454" t="s">
        <v>551</v>
      </c>
      <c r="AB64" s="453" t="s">
        <v>549</v>
      </c>
      <c r="AC64" s="1149"/>
      <c r="AD64" s="1149"/>
      <c r="AE64" s="1149"/>
      <c r="AF64" s="1150"/>
      <c r="AG64" s="1150"/>
      <c r="AH64" s="1150"/>
      <c r="AI64" s="18"/>
      <c r="AJ64" s="18"/>
      <c r="AK64" s="18"/>
      <c r="AL64" s="18"/>
      <c r="AM64" s="18"/>
      <c r="AN64" s="18"/>
      <c r="AO64" s="18"/>
      <c r="AP64" s="18"/>
      <c r="AU64" s="21"/>
    </row>
    <row r="65" spans="1:47" ht="12.6" customHeight="1">
      <c r="A65" s="73"/>
      <c r="F65" s="72"/>
      <c r="G65" s="453">
        <v>10</v>
      </c>
      <c r="H65" s="1133">
        <v>3</v>
      </c>
      <c r="I65" s="1133"/>
      <c r="J65" s="454" t="s">
        <v>551</v>
      </c>
      <c r="K65" s="453" t="s">
        <v>549</v>
      </c>
      <c r="L65" s="453" t="s">
        <v>549</v>
      </c>
      <c r="M65" s="454" t="s">
        <v>551</v>
      </c>
      <c r="N65" s="453" t="s">
        <v>549</v>
      </c>
      <c r="O65" s="1134">
        <v>7000</v>
      </c>
      <c r="P65" s="1135"/>
      <c r="Q65" s="1136"/>
      <c r="R65" s="1181"/>
      <c r="S65" s="1182"/>
      <c r="T65" s="1183"/>
      <c r="U65" s="453">
        <v>10</v>
      </c>
      <c r="V65" s="1137">
        <v>3</v>
      </c>
      <c r="W65" s="1138"/>
      <c r="X65" s="454" t="s">
        <v>551</v>
      </c>
      <c r="Y65" s="453" t="s">
        <v>549</v>
      </c>
      <c r="Z65" s="453" t="s">
        <v>549</v>
      </c>
      <c r="AA65" s="454" t="s">
        <v>551</v>
      </c>
      <c r="AB65" s="453" t="s">
        <v>549</v>
      </c>
      <c r="AC65" s="1149"/>
      <c r="AD65" s="1149"/>
      <c r="AE65" s="1149"/>
      <c r="AF65" s="1150"/>
      <c r="AG65" s="1150"/>
      <c r="AH65" s="1150"/>
      <c r="AI65" s="18"/>
      <c r="AJ65" s="18"/>
      <c r="AK65" s="18"/>
      <c r="AL65" s="18"/>
      <c r="AM65" s="18"/>
      <c r="AN65" s="18"/>
      <c r="AO65" s="18"/>
      <c r="AP65" s="18"/>
      <c r="AU65" s="21"/>
    </row>
    <row r="66" spans="1:47" ht="12.6" customHeight="1">
      <c r="A66" s="73"/>
      <c r="F66" s="72"/>
      <c r="G66" s="453">
        <v>11</v>
      </c>
      <c r="H66" s="1133">
        <v>3</v>
      </c>
      <c r="I66" s="1133"/>
      <c r="J66" s="454" t="s">
        <v>551</v>
      </c>
      <c r="K66" s="454" t="s">
        <v>551</v>
      </c>
      <c r="L66" s="453" t="s">
        <v>549</v>
      </c>
      <c r="M66" s="453" t="s">
        <v>549</v>
      </c>
      <c r="N66" s="453" t="s">
        <v>549</v>
      </c>
      <c r="O66" s="1134">
        <v>7000</v>
      </c>
      <c r="P66" s="1135"/>
      <c r="Q66" s="1136"/>
      <c r="R66" s="1181"/>
      <c r="S66" s="1182"/>
      <c r="T66" s="1183"/>
      <c r="U66" s="453">
        <v>11</v>
      </c>
      <c r="V66" s="1137">
        <v>3</v>
      </c>
      <c r="W66" s="1138"/>
      <c r="X66" s="454" t="s">
        <v>551</v>
      </c>
      <c r="Y66" s="454" t="s">
        <v>551</v>
      </c>
      <c r="Z66" s="453" t="s">
        <v>549</v>
      </c>
      <c r="AA66" s="453" t="s">
        <v>549</v>
      </c>
      <c r="AB66" s="453" t="s">
        <v>549</v>
      </c>
      <c r="AC66" s="1149"/>
      <c r="AD66" s="1149"/>
      <c r="AE66" s="1149"/>
      <c r="AF66" s="1150"/>
      <c r="AG66" s="1150"/>
      <c r="AH66" s="1150"/>
      <c r="AI66" s="18"/>
      <c r="AJ66" s="18"/>
      <c r="AK66" s="18"/>
      <c r="AL66" s="18"/>
      <c r="AM66" s="18"/>
      <c r="AN66" s="18"/>
      <c r="AO66" s="18"/>
      <c r="AP66" s="18"/>
      <c r="AU66" s="21"/>
    </row>
    <row r="67" spans="1:47" ht="12.6" customHeight="1">
      <c r="A67" s="73"/>
      <c r="F67" s="72"/>
      <c r="G67" s="453">
        <v>12</v>
      </c>
      <c r="H67" s="1133">
        <v>2</v>
      </c>
      <c r="I67" s="1133"/>
      <c r="J67" s="453" t="s">
        <v>549</v>
      </c>
      <c r="K67" s="454" t="s">
        <v>551</v>
      </c>
      <c r="L67" s="453" t="s">
        <v>549</v>
      </c>
      <c r="M67" s="454" t="s">
        <v>551</v>
      </c>
      <c r="N67" s="454" t="s">
        <v>551</v>
      </c>
      <c r="O67" s="1134">
        <v>3500</v>
      </c>
      <c r="P67" s="1135"/>
      <c r="Q67" s="1136"/>
      <c r="R67" s="1181"/>
      <c r="S67" s="1182"/>
      <c r="T67" s="1183"/>
      <c r="U67" s="453">
        <v>12</v>
      </c>
      <c r="V67" s="1137">
        <v>2</v>
      </c>
      <c r="W67" s="1138"/>
      <c r="X67" s="453" t="s">
        <v>549</v>
      </c>
      <c r="Y67" s="454" t="s">
        <v>551</v>
      </c>
      <c r="Z67" s="453" t="s">
        <v>549</v>
      </c>
      <c r="AA67" s="454" t="s">
        <v>551</v>
      </c>
      <c r="AB67" s="454" t="s">
        <v>551</v>
      </c>
      <c r="AC67" s="1149"/>
      <c r="AD67" s="1149"/>
      <c r="AE67" s="1149"/>
      <c r="AF67" s="1150"/>
      <c r="AG67" s="1150"/>
      <c r="AH67" s="1150"/>
      <c r="AI67" s="18"/>
      <c r="AU67" s="21"/>
    </row>
    <row r="68" spans="1:47" ht="12.6" customHeight="1">
      <c r="A68" s="73"/>
      <c r="F68" s="72"/>
      <c r="G68" s="457">
        <v>13</v>
      </c>
      <c r="H68" s="1133">
        <v>2</v>
      </c>
      <c r="I68" s="1133"/>
      <c r="J68" s="454" t="s">
        <v>551</v>
      </c>
      <c r="K68" s="453" t="s">
        <v>549</v>
      </c>
      <c r="L68" s="453" t="s">
        <v>549</v>
      </c>
      <c r="M68" s="454" t="s">
        <v>551</v>
      </c>
      <c r="N68" s="454" t="s">
        <v>551</v>
      </c>
      <c r="O68" s="1134">
        <v>3500</v>
      </c>
      <c r="P68" s="1135"/>
      <c r="Q68" s="1136"/>
      <c r="R68" s="1181"/>
      <c r="S68" s="1182"/>
      <c r="T68" s="1183"/>
      <c r="U68" s="457">
        <v>13</v>
      </c>
      <c r="V68" s="1137">
        <v>2</v>
      </c>
      <c r="W68" s="1138"/>
      <c r="X68" s="454" t="s">
        <v>551</v>
      </c>
      <c r="Y68" s="453" t="s">
        <v>549</v>
      </c>
      <c r="Z68" s="453" t="s">
        <v>549</v>
      </c>
      <c r="AA68" s="454" t="s">
        <v>551</v>
      </c>
      <c r="AB68" s="454" t="s">
        <v>551</v>
      </c>
      <c r="AC68" s="1149"/>
      <c r="AD68" s="1149"/>
      <c r="AE68" s="1149"/>
      <c r="AF68" s="1150"/>
      <c r="AG68" s="1150"/>
      <c r="AH68" s="1150"/>
      <c r="AI68" s="18"/>
      <c r="AU68" s="21"/>
    </row>
    <row r="69" spans="1:47" ht="12.6" customHeight="1">
      <c r="A69" s="73"/>
      <c r="F69" s="72"/>
      <c r="G69" s="458">
        <v>14</v>
      </c>
      <c r="H69" s="1133">
        <v>2</v>
      </c>
      <c r="I69" s="1133"/>
      <c r="J69" s="459" t="s">
        <v>551</v>
      </c>
      <c r="K69" s="459" t="s">
        <v>551</v>
      </c>
      <c r="L69" s="460" t="s">
        <v>549</v>
      </c>
      <c r="M69" s="460" t="s">
        <v>549</v>
      </c>
      <c r="N69" s="459" t="s">
        <v>551</v>
      </c>
      <c r="O69" s="1134">
        <v>3500</v>
      </c>
      <c r="P69" s="1135"/>
      <c r="Q69" s="1136"/>
      <c r="R69" s="1181"/>
      <c r="S69" s="1182"/>
      <c r="T69" s="1183"/>
      <c r="U69" s="458">
        <v>14</v>
      </c>
      <c r="V69" s="1137">
        <v>2</v>
      </c>
      <c r="W69" s="1138"/>
      <c r="X69" s="459" t="s">
        <v>551</v>
      </c>
      <c r="Y69" s="459" t="s">
        <v>551</v>
      </c>
      <c r="Z69" s="460" t="s">
        <v>549</v>
      </c>
      <c r="AA69" s="460" t="s">
        <v>549</v>
      </c>
      <c r="AB69" s="459" t="s">
        <v>551</v>
      </c>
      <c r="AC69" s="1149"/>
      <c r="AD69" s="1149"/>
      <c r="AE69" s="1149"/>
      <c r="AF69" s="1150"/>
      <c r="AG69" s="1150"/>
      <c r="AH69" s="1150"/>
      <c r="AU69" s="21"/>
    </row>
    <row r="70" spans="1:47" ht="12.6" customHeight="1">
      <c r="A70" s="73"/>
      <c r="F70" s="72"/>
      <c r="G70" s="458">
        <v>15</v>
      </c>
      <c r="H70" s="1133">
        <v>2</v>
      </c>
      <c r="I70" s="1133"/>
      <c r="J70" s="454" t="s">
        <v>551</v>
      </c>
      <c r="K70" s="454" t="s">
        <v>551</v>
      </c>
      <c r="L70" s="453" t="s">
        <v>549</v>
      </c>
      <c r="M70" s="454" t="s">
        <v>551</v>
      </c>
      <c r="N70" s="453" t="s">
        <v>549</v>
      </c>
      <c r="O70" s="1134">
        <v>3500</v>
      </c>
      <c r="P70" s="1135"/>
      <c r="Q70" s="1136"/>
      <c r="R70" s="1181"/>
      <c r="S70" s="1182"/>
      <c r="T70" s="1183"/>
      <c r="U70" s="458">
        <v>15</v>
      </c>
      <c r="V70" s="1137">
        <v>2</v>
      </c>
      <c r="W70" s="1138"/>
      <c r="X70" s="454" t="s">
        <v>551</v>
      </c>
      <c r="Y70" s="454" t="s">
        <v>551</v>
      </c>
      <c r="Z70" s="453" t="s">
        <v>549</v>
      </c>
      <c r="AA70" s="454" t="s">
        <v>551</v>
      </c>
      <c r="AB70" s="453" t="s">
        <v>549</v>
      </c>
      <c r="AC70" s="1139"/>
      <c r="AD70" s="1139"/>
      <c r="AE70" s="1139"/>
      <c r="AF70" s="1150"/>
      <c r="AG70" s="1150"/>
      <c r="AH70" s="1150"/>
      <c r="AU70" s="21"/>
    </row>
    <row r="71" spans="1:47" ht="12.6" customHeight="1">
      <c r="A71" s="73"/>
      <c r="E71" s="80"/>
      <c r="F71" s="72"/>
      <c r="G71" s="458">
        <v>16</v>
      </c>
      <c r="H71" s="1133">
        <v>4</v>
      </c>
      <c r="I71" s="1133"/>
      <c r="J71" s="453" t="s">
        <v>549</v>
      </c>
      <c r="K71" s="453" t="s">
        <v>549</v>
      </c>
      <c r="L71" s="454" t="s">
        <v>551</v>
      </c>
      <c r="M71" s="453" t="s">
        <v>549</v>
      </c>
      <c r="N71" s="453" t="s">
        <v>549</v>
      </c>
      <c r="O71" s="1134">
        <v>10500</v>
      </c>
      <c r="P71" s="1135"/>
      <c r="Q71" s="1136"/>
      <c r="R71" s="1181"/>
      <c r="S71" s="1182"/>
      <c r="T71" s="1183"/>
      <c r="U71" s="458">
        <v>16</v>
      </c>
      <c r="V71" s="1137">
        <v>4</v>
      </c>
      <c r="W71" s="1138"/>
      <c r="X71" s="453" t="s">
        <v>549</v>
      </c>
      <c r="Y71" s="453" t="s">
        <v>549</v>
      </c>
      <c r="Z71" s="454" t="s">
        <v>551</v>
      </c>
      <c r="AA71" s="453" t="s">
        <v>549</v>
      </c>
      <c r="AB71" s="453" t="s">
        <v>549</v>
      </c>
      <c r="AC71" s="1152"/>
      <c r="AD71" s="1153"/>
      <c r="AE71" s="1153"/>
      <c r="AF71" s="1154"/>
      <c r="AG71" s="1154"/>
      <c r="AH71" s="1154"/>
      <c r="AU71" s="21"/>
    </row>
    <row r="72" spans="1:47" ht="12.6" customHeight="1">
      <c r="A72" s="73"/>
      <c r="E72" s="80"/>
      <c r="F72" s="72"/>
      <c r="G72" s="458">
        <v>17</v>
      </c>
      <c r="H72" s="1133">
        <v>3</v>
      </c>
      <c r="I72" s="1133"/>
      <c r="J72" s="453" t="s">
        <v>549</v>
      </c>
      <c r="K72" s="453" t="s">
        <v>549</v>
      </c>
      <c r="L72" s="454" t="s">
        <v>551</v>
      </c>
      <c r="M72" s="453" t="s">
        <v>549</v>
      </c>
      <c r="N72" s="454" t="s">
        <v>551</v>
      </c>
      <c r="O72" s="1134">
        <v>7000</v>
      </c>
      <c r="P72" s="1135"/>
      <c r="Q72" s="1136"/>
      <c r="R72" s="1181"/>
      <c r="S72" s="1182"/>
      <c r="T72" s="1183"/>
      <c r="U72" s="458">
        <v>17</v>
      </c>
      <c r="V72" s="1137">
        <v>3</v>
      </c>
      <c r="W72" s="1138"/>
      <c r="X72" s="453" t="s">
        <v>549</v>
      </c>
      <c r="Y72" s="453" t="s">
        <v>549</v>
      </c>
      <c r="Z72" s="454" t="s">
        <v>551</v>
      </c>
      <c r="AA72" s="453" t="s">
        <v>549</v>
      </c>
      <c r="AB72" s="454" t="s">
        <v>551</v>
      </c>
      <c r="AC72" s="1151"/>
      <c r="AD72" s="1149"/>
      <c r="AE72" s="1149"/>
      <c r="AF72" s="1150"/>
      <c r="AG72" s="1150"/>
      <c r="AH72" s="1150"/>
      <c r="AU72" s="21"/>
    </row>
    <row r="73" spans="1:47" ht="12.6" customHeight="1">
      <c r="A73" s="73"/>
      <c r="E73" s="80"/>
      <c r="F73" s="72"/>
      <c r="G73" s="458">
        <v>18</v>
      </c>
      <c r="H73" s="1133">
        <v>3</v>
      </c>
      <c r="I73" s="1133"/>
      <c r="J73" s="453" t="s">
        <v>549</v>
      </c>
      <c r="K73" s="454" t="s">
        <v>551</v>
      </c>
      <c r="L73" s="454" t="s">
        <v>551</v>
      </c>
      <c r="M73" s="457" t="s">
        <v>549</v>
      </c>
      <c r="N73" s="453" t="s">
        <v>549</v>
      </c>
      <c r="O73" s="1134">
        <v>7000</v>
      </c>
      <c r="P73" s="1135"/>
      <c r="Q73" s="1136"/>
      <c r="R73" s="1181"/>
      <c r="S73" s="1182"/>
      <c r="T73" s="1183"/>
      <c r="U73" s="458">
        <v>18</v>
      </c>
      <c r="V73" s="1137">
        <v>3</v>
      </c>
      <c r="W73" s="1138"/>
      <c r="X73" s="453" t="s">
        <v>549</v>
      </c>
      <c r="Y73" s="453" t="s">
        <v>551</v>
      </c>
      <c r="Z73" s="454" t="s">
        <v>551</v>
      </c>
      <c r="AA73" s="454" t="s">
        <v>549</v>
      </c>
      <c r="AB73" s="453" t="s">
        <v>549</v>
      </c>
      <c r="AC73" s="1151"/>
      <c r="AD73" s="1149"/>
      <c r="AE73" s="1149"/>
      <c r="AF73" s="1150"/>
      <c r="AG73" s="1150"/>
      <c r="AH73" s="1150"/>
      <c r="AU73" s="21"/>
    </row>
    <row r="74" spans="1:47" ht="12.6" customHeight="1">
      <c r="A74" s="73"/>
      <c r="E74" s="80"/>
      <c r="F74" s="72"/>
      <c r="G74" s="458">
        <v>19</v>
      </c>
      <c r="H74" s="1133">
        <v>3</v>
      </c>
      <c r="I74" s="1133"/>
      <c r="J74" s="454" t="s">
        <v>551</v>
      </c>
      <c r="K74" s="457" t="s">
        <v>549</v>
      </c>
      <c r="L74" s="454" t="s">
        <v>551</v>
      </c>
      <c r="M74" s="453" t="s">
        <v>549</v>
      </c>
      <c r="N74" s="453" t="s">
        <v>549</v>
      </c>
      <c r="O74" s="1134">
        <v>7000</v>
      </c>
      <c r="P74" s="1135"/>
      <c r="Q74" s="1136"/>
      <c r="R74" s="1181"/>
      <c r="S74" s="1182"/>
      <c r="T74" s="1183"/>
      <c r="U74" s="458">
        <v>19</v>
      </c>
      <c r="V74" s="1137">
        <v>3</v>
      </c>
      <c r="W74" s="1138"/>
      <c r="X74" s="453" t="s">
        <v>551</v>
      </c>
      <c r="Y74" s="457" t="s">
        <v>549</v>
      </c>
      <c r="Z74" s="454" t="s">
        <v>551</v>
      </c>
      <c r="AA74" s="453" t="s">
        <v>549</v>
      </c>
      <c r="AB74" s="453" t="s">
        <v>549</v>
      </c>
      <c r="AC74" s="1148"/>
      <c r="AD74" s="1139"/>
      <c r="AE74" s="1139"/>
      <c r="AF74" s="1140"/>
      <c r="AG74" s="1140"/>
      <c r="AH74" s="1140"/>
      <c r="AU74" s="21"/>
    </row>
    <row r="75" spans="1:47" ht="12.6" customHeight="1">
      <c r="A75" s="76"/>
      <c r="E75" s="80"/>
      <c r="F75" s="72"/>
      <c r="G75" s="458">
        <v>20</v>
      </c>
      <c r="H75" s="1133">
        <v>2</v>
      </c>
      <c r="I75" s="1133"/>
      <c r="J75" s="454" t="s">
        <v>551</v>
      </c>
      <c r="K75" s="454" t="s">
        <v>551</v>
      </c>
      <c r="L75" s="454" t="s">
        <v>551</v>
      </c>
      <c r="M75" s="453" t="s">
        <v>549</v>
      </c>
      <c r="N75" s="453" t="s">
        <v>549</v>
      </c>
      <c r="O75" s="1134">
        <v>3500</v>
      </c>
      <c r="P75" s="1135"/>
      <c r="Q75" s="1136"/>
      <c r="R75" s="1181"/>
      <c r="S75" s="1182"/>
      <c r="T75" s="1183"/>
      <c r="U75" s="458">
        <v>20</v>
      </c>
      <c r="V75" s="1137">
        <v>2</v>
      </c>
      <c r="W75" s="1138"/>
      <c r="X75" s="453" t="s">
        <v>551</v>
      </c>
      <c r="Y75" s="454" t="s">
        <v>551</v>
      </c>
      <c r="Z75" s="454" t="s">
        <v>551</v>
      </c>
      <c r="AA75" s="453" t="s">
        <v>549</v>
      </c>
      <c r="AB75" s="453" t="s">
        <v>549</v>
      </c>
      <c r="AC75" s="1149"/>
      <c r="AD75" s="1149"/>
      <c r="AE75" s="1149"/>
      <c r="AF75" s="1150"/>
      <c r="AG75" s="1150"/>
      <c r="AH75" s="1150"/>
      <c r="AU75" s="21"/>
    </row>
    <row r="76" spans="1:47" ht="12.6" customHeight="1">
      <c r="A76" s="76"/>
      <c r="E76" s="80"/>
      <c r="F76" s="72"/>
      <c r="G76" s="458">
        <v>21</v>
      </c>
      <c r="H76" s="1133">
        <v>2</v>
      </c>
      <c r="I76" s="1133"/>
      <c r="J76" s="454" t="s">
        <v>551</v>
      </c>
      <c r="K76" s="453" t="s">
        <v>549</v>
      </c>
      <c r="L76" s="454" t="s">
        <v>551</v>
      </c>
      <c r="M76" s="457" t="s">
        <v>549</v>
      </c>
      <c r="N76" s="454" t="s">
        <v>551</v>
      </c>
      <c r="O76" s="1134">
        <v>3500</v>
      </c>
      <c r="P76" s="1135"/>
      <c r="Q76" s="1136"/>
      <c r="R76" s="1181"/>
      <c r="S76" s="1182"/>
      <c r="T76" s="1183"/>
      <c r="U76" s="458">
        <v>21</v>
      </c>
      <c r="V76" s="1137">
        <v>2</v>
      </c>
      <c r="W76" s="1138"/>
      <c r="X76" s="455" t="s">
        <v>551</v>
      </c>
      <c r="Y76" s="453" t="s">
        <v>549</v>
      </c>
      <c r="Z76" s="454" t="s">
        <v>551</v>
      </c>
      <c r="AA76" s="457" t="s">
        <v>549</v>
      </c>
      <c r="AB76" s="454" t="s">
        <v>551</v>
      </c>
      <c r="AC76" s="1139"/>
      <c r="AD76" s="1139"/>
      <c r="AE76" s="1139"/>
      <c r="AF76" s="1140"/>
      <c r="AG76" s="1140"/>
      <c r="AH76" s="1140"/>
      <c r="AU76" s="21"/>
    </row>
    <row r="77" spans="1:47" ht="12.6" customHeight="1">
      <c r="A77" s="76"/>
      <c r="E77" s="80"/>
      <c r="F77" s="72"/>
      <c r="G77" s="458">
        <v>22</v>
      </c>
      <c r="H77" s="1133">
        <v>2</v>
      </c>
      <c r="I77" s="1133"/>
      <c r="J77" s="461" t="s">
        <v>549</v>
      </c>
      <c r="K77" s="462" t="s">
        <v>551</v>
      </c>
      <c r="L77" s="462" t="s">
        <v>551</v>
      </c>
      <c r="M77" s="461" t="s">
        <v>549</v>
      </c>
      <c r="N77" s="462" t="s">
        <v>551</v>
      </c>
      <c r="O77" s="1141">
        <v>3500</v>
      </c>
      <c r="P77" s="1142"/>
      <c r="Q77" s="1143"/>
      <c r="R77" s="1184"/>
      <c r="S77" s="1185"/>
      <c r="T77" s="1185"/>
      <c r="U77" s="463">
        <v>22</v>
      </c>
      <c r="V77" s="1144">
        <v>2</v>
      </c>
      <c r="W77" s="1145"/>
      <c r="X77" s="464" t="s">
        <v>549</v>
      </c>
      <c r="Y77" s="465" t="s">
        <v>551</v>
      </c>
      <c r="Z77" s="465" t="s">
        <v>551</v>
      </c>
      <c r="AA77" s="464" t="s">
        <v>549</v>
      </c>
      <c r="AB77" s="466" t="s">
        <v>551</v>
      </c>
      <c r="AC77" s="1146"/>
      <c r="AD77" s="1146"/>
      <c r="AE77" s="1146"/>
      <c r="AF77" s="1147"/>
      <c r="AG77" s="1147"/>
      <c r="AH77" s="1147"/>
      <c r="AU77" s="21"/>
    </row>
    <row r="78" spans="1:47" ht="12.6" customHeight="1">
      <c r="A78" s="76"/>
      <c r="F78" s="72"/>
      <c r="G78" s="467" t="s">
        <v>221</v>
      </c>
      <c r="H78" s="468"/>
      <c r="I78" s="468" t="s">
        <v>552</v>
      </c>
      <c r="J78" s="469"/>
      <c r="L78" s="18" t="s">
        <v>553</v>
      </c>
      <c r="O78" s="178"/>
      <c r="P78" s="178"/>
      <c r="Q78" s="178"/>
      <c r="R78" s="178"/>
      <c r="S78" s="178"/>
      <c r="T78" s="470"/>
      <c r="U78" s="469" t="s">
        <v>221</v>
      </c>
      <c r="V78" s="469"/>
      <c r="W78" s="471" t="s">
        <v>552</v>
      </c>
      <c r="X78" s="469"/>
      <c r="Y78" s="18" t="s">
        <v>554</v>
      </c>
      <c r="AH78" s="472"/>
      <c r="AU78" s="21"/>
    </row>
    <row r="79" spans="1:47" ht="12.6" customHeight="1">
      <c r="A79" s="164"/>
      <c r="B79" s="165"/>
      <c r="C79" s="165"/>
      <c r="D79" s="165"/>
      <c r="E79" s="165"/>
      <c r="F79" s="166"/>
      <c r="G79" s="473"/>
      <c r="H79" s="474"/>
      <c r="I79" s="474" t="s">
        <v>555</v>
      </c>
      <c r="J79" s="474"/>
      <c r="K79" s="474"/>
      <c r="L79" s="18" t="s">
        <v>556</v>
      </c>
      <c r="N79" s="174"/>
      <c r="O79" s="174"/>
      <c r="P79" s="174"/>
      <c r="Q79" s="174"/>
      <c r="R79" s="174"/>
      <c r="S79" s="174"/>
      <c r="T79" s="359"/>
      <c r="U79" s="474"/>
      <c r="V79" s="474"/>
      <c r="W79" s="474" t="s">
        <v>555</v>
      </c>
      <c r="X79" s="474"/>
      <c r="Y79" s="174"/>
      <c r="Z79" s="174"/>
      <c r="AA79" s="174"/>
      <c r="AB79" s="174"/>
      <c r="AC79" s="174"/>
      <c r="AD79" s="174"/>
      <c r="AE79" s="174"/>
      <c r="AF79" s="165"/>
      <c r="AG79" s="165"/>
      <c r="AH79" s="359"/>
      <c r="AI79" s="165"/>
      <c r="AJ79" s="165"/>
      <c r="AK79" s="165"/>
      <c r="AL79" s="165"/>
      <c r="AM79" s="165"/>
      <c r="AN79" s="165"/>
      <c r="AO79" s="165"/>
      <c r="AP79" s="165"/>
      <c r="AQ79" s="165"/>
      <c r="AR79" s="165"/>
      <c r="AS79" s="165"/>
      <c r="AT79" s="165"/>
      <c r="AU79" s="359"/>
    </row>
  </sheetData>
  <sheetProtection formatCells="0" selectLockedCells="1"/>
  <mergeCells count="142">
    <mergeCell ref="A1:AR1"/>
    <mergeCell ref="A2:AR2"/>
    <mergeCell ref="A3:F3"/>
    <mergeCell ref="G3:T3"/>
    <mergeCell ref="U3:AH3"/>
    <mergeCell ref="AI3:AU3"/>
    <mergeCell ref="P34:Q34"/>
    <mergeCell ref="K46:O46"/>
    <mergeCell ref="AG46:AH46"/>
    <mergeCell ref="A4:AU4"/>
    <mergeCell ref="U6:W6"/>
    <mergeCell ref="L8:M8"/>
    <mergeCell ref="L9:M9"/>
    <mergeCell ref="AA14:AG14"/>
    <mergeCell ref="AA15:AG15"/>
    <mergeCell ref="AA22:AB22"/>
    <mergeCell ref="AA23:AB23"/>
    <mergeCell ref="AA24:AB24"/>
    <mergeCell ref="AA25:AB25"/>
    <mergeCell ref="L31:P31"/>
    <mergeCell ref="V54:W55"/>
    <mergeCell ref="X54:AB54"/>
    <mergeCell ref="AC54:AE55"/>
    <mergeCell ref="AF54:AH55"/>
    <mergeCell ref="AE50:AF50"/>
    <mergeCell ref="U54:U55"/>
    <mergeCell ref="H59:I59"/>
    <mergeCell ref="O59:Q59"/>
    <mergeCell ref="G54:G55"/>
    <mergeCell ref="H54:I55"/>
    <mergeCell ref="J54:N54"/>
    <mergeCell ref="O54:Q55"/>
    <mergeCell ref="R54:T55"/>
    <mergeCell ref="O57:Q57"/>
    <mergeCell ref="V57:W57"/>
    <mergeCell ref="AC57:AE57"/>
    <mergeCell ref="AF57:AH57"/>
    <mergeCell ref="H56:I56"/>
    <mergeCell ref="O56:Q56"/>
    <mergeCell ref="R56:T77"/>
    <mergeCell ref="V56:W56"/>
    <mergeCell ref="H58:I58"/>
    <mergeCell ref="O58:Q58"/>
    <mergeCell ref="V58:W58"/>
    <mergeCell ref="AC58:AE58"/>
    <mergeCell ref="AF58:AH58"/>
    <mergeCell ref="V59:W59"/>
    <mergeCell ref="AC59:AE59"/>
    <mergeCell ref="AF59:AH59"/>
    <mergeCell ref="AC56:AE56"/>
    <mergeCell ref="AF56:AH56"/>
    <mergeCell ref="H57:I57"/>
    <mergeCell ref="H61:I61"/>
    <mergeCell ref="O61:Q61"/>
    <mergeCell ref="V61:W61"/>
    <mergeCell ref="AC61:AE61"/>
    <mergeCell ref="AF61:AH61"/>
    <mergeCell ref="H60:I60"/>
    <mergeCell ref="O60:Q60"/>
    <mergeCell ref="V60:W60"/>
    <mergeCell ref="AC60:AE60"/>
    <mergeCell ref="AF60:AH60"/>
    <mergeCell ref="H63:I63"/>
    <mergeCell ref="O63:Q63"/>
    <mergeCell ref="V63:W63"/>
    <mergeCell ref="AC63:AE63"/>
    <mergeCell ref="AF63:AH63"/>
    <mergeCell ref="H62:I62"/>
    <mergeCell ref="O62:Q62"/>
    <mergeCell ref="V62:W62"/>
    <mergeCell ref="AC62:AE62"/>
    <mergeCell ref="AF62:AH62"/>
    <mergeCell ref="H65:I65"/>
    <mergeCell ref="O65:Q65"/>
    <mergeCell ref="V65:W65"/>
    <mergeCell ref="AC65:AE65"/>
    <mergeCell ref="AF65:AH65"/>
    <mergeCell ref="H64:I64"/>
    <mergeCell ref="O64:Q64"/>
    <mergeCell ref="V64:W64"/>
    <mergeCell ref="AC64:AE64"/>
    <mergeCell ref="AF64:AH64"/>
    <mergeCell ref="H66:I66"/>
    <mergeCell ref="O66:Q66"/>
    <mergeCell ref="V66:W66"/>
    <mergeCell ref="AC66:AE66"/>
    <mergeCell ref="AF66:AH66"/>
    <mergeCell ref="H67:I67"/>
    <mergeCell ref="O67:Q67"/>
    <mergeCell ref="V67:W67"/>
    <mergeCell ref="AC67:AE67"/>
    <mergeCell ref="AF67:AH67"/>
    <mergeCell ref="H68:I68"/>
    <mergeCell ref="O68:Q68"/>
    <mergeCell ref="V68:W68"/>
    <mergeCell ref="AC68:AE68"/>
    <mergeCell ref="AF68:AH68"/>
    <mergeCell ref="H69:I69"/>
    <mergeCell ref="O69:Q69"/>
    <mergeCell ref="V69:W69"/>
    <mergeCell ref="AC69:AE69"/>
    <mergeCell ref="AF69:AH69"/>
    <mergeCell ref="H70:I70"/>
    <mergeCell ref="O70:Q70"/>
    <mergeCell ref="V70:W70"/>
    <mergeCell ref="AC70:AE70"/>
    <mergeCell ref="AF70:AH70"/>
    <mergeCell ref="H71:I71"/>
    <mergeCell ref="O71:Q71"/>
    <mergeCell ref="V71:W71"/>
    <mergeCell ref="AC71:AE71"/>
    <mergeCell ref="AF71:AH71"/>
    <mergeCell ref="H72:I72"/>
    <mergeCell ref="O72:Q72"/>
    <mergeCell ref="V72:W72"/>
    <mergeCell ref="AC72:AE72"/>
    <mergeCell ref="AF72:AH72"/>
    <mergeCell ref="H73:I73"/>
    <mergeCell ref="O73:Q73"/>
    <mergeCell ref="V73:W73"/>
    <mergeCell ref="AC73:AE73"/>
    <mergeCell ref="AF73:AH73"/>
    <mergeCell ref="H74:I74"/>
    <mergeCell ref="O74:Q74"/>
    <mergeCell ref="V74:W74"/>
    <mergeCell ref="AC74:AE74"/>
    <mergeCell ref="AF74:AH74"/>
    <mergeCell ref="H75:I75"/>
    <mergeCell ref="O75:Q75"/>
    <mergeCell ref="V75:W75"/>
    <mergeCell ref="AC75:AE75"/>
    <mergeCell ref="AF75:AH75"/>
    <mergeCell ref="H76:I76"/>
    <mergeCell ref="O76:Q76"/>
    <mergeCell ref="V76:W76"/>
    <mergeCell ref="AC76:AE76"/>
    <mergeCell ref="AF76:AH76"/>
    <mergeCell ref="H77:I77"/>
    <mergeCell ref="O77:Q77"/>
    <mergeCell ref="V77:W77"/>
    <mergeCell ref="AC77:AE77"/>
    <mergeCell ref="AF77:AH77"/>
  </mergeCells>
  <conditionalFormatting sqref="Z47 AB47 AD47 AF47">
    <cfRule type="containsBlanks" dxfId="25" priority="7" stopIfTrue="1">
      <formula>LEN(TRIM(Z47))=0</formula>
    </cfRule>
  </conditionalFormatting>
  <conditionalFormatting sqref="AA7:AA9 AD7:AD9">
    <cfRule type="containsBlanks" dxfId="24" priority="5" stopIfTrue="1">
      <formula>LEN(TRIM(AA7))=0</formula>
    </cfRule>
  </conditionalFormatting>
  <conditionalFormatting sqref="AA18:AA19 AA27:AA29 AG27:AG29">
    <cfRule type="containsBlanks" dxfId="23" priority="8" stopIfTrue="1">
      <formula>LEN(TRIM(AA18))=0</formula>
    </cfRule>
  </conditionalFormatting>
  <conditionalFormatting sqref="AA22:AB24">
    <cfRule type="containsBlanks" dxfId="22" priority="3" stopIfTrue="1">
      <formula>LEN(TRIM(AA22))=0</formula>
    </cfRule>
  </conditionalFormatting>
  <conditionalFormatting sqref="AA14:AG15">
    <cfRule type="containsBlanks" dxfId="21" priority="4" stopIfTrue="1">
      <formula>LEN(TRIM(AA14))=0</formula>
    </cfRule>
  </conditionalFormatting>
  <conditionalFormatting sqref="AC56:AH77">
    <cfRule type="containsBlanks" dxfId="20" priority="2" stopIfTrue="1">
      <formula>LEN(TRIM(AC56))=0</formula>
    </cfRule>
  </conditionalFormatting>
  <conditionalFormatting sqref="AE27:AE29">
    <cfRule type="containsBlanks" dxfId="19" priority="1" stopIfTrue="1">
      <formula>LEN(TRIM(AE27))=0</formula>
    </cfRule>
  </conditionalFormatting>
  <conditionalFormatting sqref="AG46:AH46">
    <cfRule type="containsText" dxfId="18" priority="6" stopIfTrue="1" operator="containsText" text="Un">
      <formula>NOT(ISERROR(SEARCH("Un",AG46)))</formula>
    </cfRule>
  </conditionalFormatting>
  <printOptions horizontalCentered="1"/>
  <pageMargins left="0.25" right="0.22" top="0.39370078740157499" bottom="0.23" header="0" footer="0"/>
  <pageSetup paperSize="9" scale="44" orientation="landscape" r:id="rId1"/>
  <headerFooter alignWithMargins="0">
    <oddHeader>&amp;LPELNG-F-MO.T2-0026 Rev. 00&amp;C&amp;REffective Date: 22/04/2026</oddHeader>
    <oddFooter>&amp;L&amp;C&amp;R</oddFooter>
  </headerFooter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AE556-81AF-46D1-BC92-92B52D3267D6}">
  <dimension ref="A1:AV107"/>
  <sheetViews>
    <sheetView view="pageBreakPreview" topLeftCell="U10" zoomScaleNormal="68" zoomScaleSheetLayoutView="100" zoomScalePageLayoutView="47" workbookViewId="0">
      <selection activeCell="AS41" sqref="AS41"/>
    </sheetView>
  </sheetViews>
  <sheetFormatPr defaultColWidth="9.109375" defaultRowHeight="13.8"/>
  <cols>
    <col min="1" max="5" width="6.6640625" style="15" customWidth="1"/>
    <col min="6" max="19" width="6.6640625" style="18" customWidth="1"/>
    <col min="20" max="20" width="6.6640625" style="15" customWidth="1"/>
    <col min="21" max="31" width="6.6640625" style="18" customWidth="1"/>
    <col min="32" max="34" width="6.6640625" style="15" customWidth="1"/>
    <col min="35" max="48" width="6.33203125" style="15" customWidth="1"/>
    <col min="49" max="52" width="9.109375" style="15" customWidth="1"/>
    <col min="53" max="16384" width="9.109375" style="15"/>
  </cols>
  <sheetData>
    <row r="1" spans="1:48" ht="24.9" customHeight="1">
      <c r="A1" s="830" t="s">
        <v>6</v>
      </c>
      <c r="B1" s="831"/>
      <c r="C1" s="831"/>
      <c r="D1" s="831"/>
      <c r="E1" s="831"/>
      <c r="F1" s="831"/>
      <c r="G1" s="831"/>
      <c r="H1" s="831"/>
      <c r="I1" s="831"/>
      <c r="J1" s="831"/>
      <c r="K1" s="831"/>
      <c r="L1" s="831"/>
      <c r="M1" s="831"/>
      <c r="N1" s="831"/>
      <c r="O1" s="831"/>
      <c r="P1" s="831"/>
      <c r="Q1" s="831"/>
      <c r="R1" s="831"/>
      <c r="S1" s="831"/>
      <c r="T1" s="831"/>
      <c r="U1" s="831"/>
      <c r="V1" s="831"/>
      <c r="W1" s="831"/>
      <c r="X1" s="831"/>
      <c r="Y1" s="831"/>
      <c r="Z1" s="831"/>
      <c r="AA1" s="831"/>
      <c r="AB1" s="831"/>
      <c r="AC1" s="831"/>
      <c r="AD1" s="831"/>
      <c r="AE1" s="831"/>
      <c r="AF1" s="831"/>
      <c r="AG1" s="831"/>
      <c r="AH1" s="831"/>
      <c r="AI1" s="831"/>
      <c r="AJ1" s="831"/>
      <c r="AK1" s="831"/>
      <c r="AL1" s="831"/>
      <c r="AM1" s="831"/>
      <c r="AN1" s="831"/>
      <c r="AO1" s="831"/>
      <c r="AP1" s="831"/>
      <c r="AQ1" s="831"/>
      <c r="AR1" s="831"/>
      <c r="AS1" s="832"/>
      <c r="AT1" s="6"/>
      <c r="AU1" s="7" t="s">
        <v>7</v>
      </c>
      <c r="AV1" s="8"/>
    </row>
    <row r="2" spans="1:48" ht="24.9" customHeight="1">
      <c r="A2" s="833"/>
      <c r="B2" s="834"/>
      <c r="C2" s="834"/>
      <c r="D2" s="834"/>
      <c r="E2" s="834"/>
      <c r="F2" s="834"/>
      <c r="G2" s="834"/>
      <c r="H2" s="834"/>
      <c r="I2" s="834"/>
      <c r="J2" s="834"/>
      <c r="K2" s="834"/>
      <c r="L2" s="834"/>
      <c r="M2" s="834"/>
      <c r="N2" s="834"/>
      <c r="O2" s="834"/>
      <c r="P2" s="834"/>
      <c r="Q2" s="834"/>
      <c r="R2" s="834"/>
      <c r="S2" s="834"/>
      <c r="T2" s="834"/>
      <c r="U2" s="834"/>
      <c r="V2" s="834"/>
      <c r="W2" s="834"/>
      <c r="X2" s="834"/>
      <c r="Y2" s="834"/>
      <c r="Z2" s="834"/>
      <c r="AA2" s="834"/>
      <c r="AB2" s="834"/>
      <c r="AC2" s="834"/>
      <c r="AD2" s="834"/>
      <c r="AE2" s="834"/>
      <c r="AF2" s="834"/>
      <c r="AG2" s="834"/>
      <c r="AH2" s="834"/>
      <c r="AI2" s="834"/>
      <c r="AJ2" s="834"/>
      <c r="AK2" s="834"/>
      <c r="AL2" s="834"/>
      <c r="AM2" s="834"/>
      <c r="AN2" s="834"/>
      <c r="AO2" s="834"/>
      <c r="AP2" s="834"/>
      <c r="AQ2" s="834"/>
      <c r="AR2" s="834"/>
      <c r="AS2" s="10"/>
      <c r="AT2" s="11"/>
      <c r="AU2" s="12" t="s">
        <v>557</v>
      </c>
      <c r="AV2" s="13"/>
    </row>
    <row r="3" spans="1:48" s="67" customFormat="1" ht="36.9" customHeight="1">
      <c r="A3" s="839" t="s">
        <v>114</v>
      </c>
      <c r="B3" s="840"/>
      <c r="C3" s="840"/>
      <c r="D3" s="840"/>
      <c r="E3" s="840"/>
      <c r="F3" s="1068"/>
      <c r="G3" s="1069" t="s">
        <v>115</v>
      </c>
      <c r="H3" s="840"/>
      <c r="I3" s="840"/>
      <c r="J3" s="840"/>
      <c r="K3" s="840"/>
      <c r="L3" s="840"/>
      <c r="M3" s="840"/>
      <c r="N3" s="840"/>
      <c r="O3" s="840"/>
      <c r="P3" s="840"/>
      <c r="Q3" s="840"/>
      <c r="R3" s="840"/>
      <c r="S3" s="840"/>
      <c r="T3" s="1068"/>
      <c r="U3" s="1069" t="s">
        <v>116</v>
      </c>
      <c r="V3" s="840"/>
      <c r="W3" s="840"/>
      <c r="X3" s="840"/>
      <c r="Y3" s="840"/>
      <c r="Z3" s="840"/>
      <c r="AA3" s="840"/>
      <c r="AB3" s="840"/>
      <c r="AC3" s="840"/>
      <c r="AD3" s="840"/>
      <c r="AE3" s="840"/>
      <c r="AF3" s="840"/>
      <c r="AG3" s="840"/>
      <c r="AH3" s="1068"/>
      <c r="AI3" s="839" t="s">
        <v>117</v>
      </c>
      <c r="AJ3" s="840"/>
      <c r="AK3" s="840"/>
      <c r="AL3" s="840"/>
      <c r="AM3" s="840"/>
      <c r="AN3" s="840"/>
      <c r="AO3" s="840"/>
      <c r="AP3" s="840"/>
      <c r="AQ3" s="840"/>
      <c r="AR3" s="840"/>
      <c r="AS3" s="840"/>
      <c r="AT3" s="840"/>
      <c r="AU3" s="840"/>
      <c r="AV3" s="1068"/>
    </row>
    <row r="4" spans="1:48" ht="15" customHeight="1">
      <c r="A4" s="870" t="s">
        <v>472</v>
      </c>
      <c r="B4" s="871"/>
      <c r="C4" s="871"/>
      <c r="D4" s="871"/>
      <c r="E4" s="871"/>
      <c r="F4" s="871"/>
      <c r="G4" s="871"/>
      <c r="H4" s="871"/>
      <c r="I4" s="871"/>
      <c r="J4" s="871"/>
      <c r="K4" s="871"/>
      <c r="L4" s="871"/>
      <c r="M4" s="871"/>
      <c r="N4" s="871"/>
      <c r="O4" s="871"/>
      <c r="P4" s="871"/>
      <c r="Q4" s="871"/>
      <c r="R4" s="871"/>
      <c r="S4" s="871"/>
      <c r="T4" s="871"/>
      <c r="U4" s="871"/>
      <c r="V4" s="871"/>
      <c r="W4" s="871"/>
      <c r="X4" s="871"/>
      <c r="Y4" s="871"/>
      <c r="Z4" s="871"/>
      <c r="AA4" s="871"/>
      <c r="AB4" s="871"/>
      <c r="AC4" s="871"/>
      <c r="AD4" s="871"/>
      <c r="AE4" s="871"/>
      <c r="AF4" s="871"/>
      <c r="AG4" s="871"/>
      <c r="AH4" s="871"/>
      <c r="AI4" s="871"/>
      <c r="AJ4" s="871"/>
      <c r="AK4" s="871"/>
      <c r="AL4" s="871"/>
      <c r="AM4" s="871"/>
      <c r="AN4" s="871"/>
      <c r="AO4" s="871"/>
      <c r="AP4" s="871"/>
      <c r="AQ4" s="871"/>
      <c r="AR4" s="871"/>
      <c r="AS4" s="871"/>
      <c r="AT4" s="871"/>
      <c r="AU4" s="871"/>
      <c r="AV4" s="968"/>
    </row>
    <row r="5" spans="1:48" ht="15" customHeight="1">
      <c r="A5" s="73" t="s">
        <v>558</v>
      </c>
      <c r="F5" s="72"/>
      <c r="G5" s="30" t="s">
        <v>438</v>
      </c>
      <c r="T5" s="16" t="s">
        <v>201</v>
      </c>
      <c r="U5" s="73"/>
      <c r="AH5" s="16" t="s">
        <v>201</v>
      </c>
      <c r="AI5" s="6"/>
      <c r="AJ5" s="178"/>
      <c r="AK5" s="181"/>
      <c r="AL5" s="181"/>
      <c r="AM5" s="181"/>
      <c r="AN5" s="181"/>
      <c r="AO5" s="181"/>
      <c r="AP5" s="181"/>
      <c r="AQ5" s="181"/>
      <c r="AR5" s="181"/>
      <c r="AS5" s="181"/>
      <c r="AT5" s="181"/>
      <c r="AU5" s="181"/>
      <c r="AV5" s="604" t="s">
        <v>201</v>
      </c>
    </row>
    <row r="6" spans="1:48" ht="15" customHeight="1">
      <c r="A6" s="73"/>
      <c r="F6" s="72"/>
      <c r="G6" s="96" t="s">
        <v>559</v>
      </c>
      <c r="U6" s="184" t="s">
        <v>560</v>
      </c>
      <c r="AG6" s="16"/>
      <c r="AI6" s="73" t="s">
        <v>561</v>
      </c>
      <c r="AJ6" s="18"/>
      <c r="AK6" s="93"/>
      <c r="AL6" s="93"/>
      <c r="AM6" s="93"/>
      <c r="AN6" s="93"/>
      <c r="AO6" s="93"/>
      <c r="AP6" s="93"/>
      <c r="AQ6" s="93"/>
      <c r="AR6" s="18"/>
      <c r="AS6" s="18"/>
      <c r="AT6" s="18"/>
      <c r="AU6" s="18"/>
      <c r="AV6" s="21"/>
    </row>
    <row r="7" spans="1:48" ht="15" customHeight="1">
      <c r="A7" s="73"/>
      <c r="F7" s="72"/>
      <c r="H7" s="15"/>
      <c r="I7" s="15"/>
      <c r="L7" s="15"/>
      <c r="M7" s="15"/>
      <c r="N7" s="15"/>
      <c r="O7" s="15"/>
      <c r="P7" s="15"/>
      <c r="Q7" s="15"/>
      <c r="R7" s="15"/>
      <c r="S7" s="15"/>
      <c r="U7" s="73"/>
      <c r="W7" s="15"/>
      <c r="X7" s="15"/>
      <c r="Y7" s="15"/>
      <c r="Z7" s="15"/>
      <c r="AA7" s="15"/>
      <c r="AB7" s="1112" t="s">
        <v>444</v>
      </c>
      <c r="AC7" s="1113"/>
      <c r="AD7" s="1113"/>
      <c r="AE7" s="1113"/>
      <c r="AF7" s="1113"/>
      <c r="AG7" s="1114"/>
      <c r="AI7" s="1274"/>
      <c r="AJ7" s="861"/>
      <c r="AK7" s="861"/>
      <c r="AL7" s="861"/>
      <c r="AM7" s="861"/>
      <c r="AN7" s="861"/>
      <c r="AO7" s="861"/>
      <c r="AP7" s="861"/>
      <c r="AQ7" s="861"/>
      <c r="AR7" s="861"/>
      <c r="AS7" s="861"/>
      <c r="AT7" s="861"/>
      <c r="AU7" s="861"/>
      <c r="AV7" s="1188"/>
    </row>
    <row r="8" spans="1:48" ht="15" customHeight="1">
      <c r="A8" s="73"/>
      <c r="F8" s="72"/>
      <c r="H8" s="954" t="s">
        <v>445</v>
      </c>
      <c r="I8" s="955"/>
      <c r="J8" s="955"/>
      <c r="K8" s="956"/>
      <c r="L8" s="954" t="s">
        <v>446</v>
      </c>
      <c r="M8" s="955"/>
      <c r="N8" s="956"/>
      <c r="O8" s="377"/>
      <c r="P8" s="954" t="s">
        <v>562</v>
      </c>
      <c r="Q8" s="955"/>
      <c r="R8" s="954" t="s">
        <v>563</v>
      </c>
      <c r="S8" s="956"/>
      <c r="U8" s="73"/>
      <c r="V8" s="1090" t="s">
        <v>179</v>
      </c>
      <c r="W8" s="1090"/>
      <c r="X8" s="1090"/>
      <c r="Y8" s="1090"/>
      <c r="Z8" s="1090"/>
      <c r="AA8" s="378"/>
      <c r="AB8" s="976">
        <f>'page 1'!AD30</f>
        <v>0</v>
      </c>
      <c r="AC8" s="1270"/>
      <c r="AD8" s="1270"/>
      <c r="AE8" s="1270"/>
      <c r="AF8" s="1270"/>
      <c r="AG8" s="977"/>
      <c r="AI8" s="1274"/>
      <c r="AJ8" s="861"/>
      <c r="AK8" s="861"/>
      <c r="AL8" s="861"/>
      <c r="AM8" s="861"/>
      <c r="AN8" s="861"/>
      <c r="AO8" s="861"/>
      <c r="AP8" s="861"/>
      <c r="AQ8" s="861"/>
      <c r="AR8" s="861"/>
      <c r="AS8" s="861"/>
      <c r="AT8" s="861"/>
      <c r="AU8" s="861"/>
      <c r="AV8" s="1188"/>
    </row>
    <row r="9" spans="1:48" ht="15" customHeight="1">
      <c r="A9" s="73"/>
      <c r="F9" s="72"/>
      <c r="H9" s="1278" t="s">
        <v>564</v>
      </c>
      <c r="I9" s="1279"/>
      <c r="J9" s="1279"/>
      <c r="K9" s="1280"/>
      <c r="L9" s="1083" t="s">
        <v>450</v>
      </c>
      <c r="M9" s="1084"/>
      <c r="N9" s="1085"/>
      <c r="O9" s="379"/>
      <c r="P9" s="976">
        <v>27.5</v>
      </c>
      <c r="Q9" s="1270"/>
      <c r="R9" s="976">
        <v>30.5</v>
      </c>
      <c r="S9" s="977"/>
      <c r="U9" s="73"/>
      <c r="V9" s="1090" t="s">
        <v>451</v>
      </c>
      <c r="W9" s="1090"/>
      <c r="X9" s="1090"/>
      <c r="Y9" s="1090"/>
      <c r="Z9" s="1090"/>
      <c r="AA9" s="378"/>
      <c r="AB9" s="1111">
        <f>'page 1'!AD33</f>
        <v>0</v>
      </c>
      <c r="AC9" s="1111"/>
      <c r="AD9" s="1111"/>
      <c r="AE9" s="1111"/>
      <c r="AF9" s="1111"/>
      <c r="AG9" s="1111"/>
      <c r="AI9" s="1274"/>
      <c r="AJ9" s="861"/>
      <c r="AK9" s="861"/>
      <c r="AL9" s="861"/>
      <c r="AM9" s="861"/>
      <c r="AN9" s="861"/>
      <c r="AO9" s="861"/>
      <c r="AP9" s="861"/>
      <c r="AQ9" s="861"/>
      <c r="AR9" s="861"/>
      <c r="AS9" s="861"/>
      <c r="AT9" s="861"/>
      <c r="AU9" s="861"/>
      <c r="AV9" s="1188"/>
    </row>
    <row r="10" spans="1:48" ht="15" customHeight="1">
      <c r="A10" s="73"/>
      <c r="F10" s="72"/>
      <c r="H10" s="1281"/>
      <c r="I10" s="1282"/>
      <c r="J10" s="1282"/>
      <c r="K10" s="1283"/>
      <c r="L10" s="1083" t="s">
        <v>453</v>
      </c>
      <c r="M10" s="1084"/>
      <c r="N10" s="1085"/>
      <c r="O10" s="379"/>
      <c r="P10" s="976">
        <v>17.5</v>
      </c>
      <c r="Q10" s="1270"/>
      <c r="R10" s="976"/>
      <c r="S10" s="977"/>
      <c r="U10" s="73"/>
      <c r="V10" s="1090" t="s">
        <v>454</v>
      </c>
      <c r="W10" s="1090"/>
      <c r="X10" s="1090"/>
      <c r="Y10" s="1090"/>
      <c r="Z10" s="1090"/>
      <c r="AA10" s="378"/>
      <c r="AB10" s="1111">
        <f>'page 1'!AD34</f>
        <v>0</v>
      </c>
      <c r="AC10" s="1111"/>
      <c r="AD10" s="1111"/>
      <c r="AE10" s="1111"/>
      <c r="AF10" s="1111"/>
      <c r="AG10" s="1111"/>
      <c r="AI10" s="1274"/>
      <c r="AJ10" s="861"/>
      <c r="AK10" s="861"/>
      <c r="AL10" s="861"/>
      <c r="AM10" s="861"/>
      <c r="AN10" s="861"/>
      <c r="AO10" s="861"/>
      <c r="AP10" s="861"/>
      <c r="AQ10" s="861"/>
      <c r="AR10" s="861"/>
      <c r="AS10" s="861"/>
      <c r="AT10" s="861"/>
      <c r="AU10" s="861"/>
      <c r="AV10" s="1188"/>
    </row>
    <row r="11" spans="1:48" ht="15" customHeight="1">
      <c r="A11" s="73"/>
      <c r="F11" s="72"/>
      <c r="H11" s="1091" t="s">
        <v>457</v>
      </c>
      <c r="I11" s="1092"/>
      <c r="J11" s="1092"/>
      <c r="K11" s="1092"/>
      <c r="L11" s="1083" t="s">
        <v>450</v>
      </c>
      <c r="M11" s="1084"/>
      <c r="N11" s="1085"/>
      <c r="O11" s="379"/>
      <c r="P11" s="976">
        <v>3.5</v>
      </c>
      <c r="Q11" s="1270"/>
      <c r="R11" s="976"/>
      <c r="S11" s="977"/>
      <c r="U11" s="73"/>
      <c r="V11" s="1093" t="s">
        <v>458</v>
      </c>
      <c r="W11" s="1094"/>
      <c r="X11" s="1094"/>
      <c r="Y11" s="1094"/>
      <c r="Z11" s="1094"/>
      <c r="AA11" s="1105"/>
      <c r="AB11" s="1106" t="s">
        <v>459</v>
      </c>
      <c r="AC11" s="1106"/>
      <c r="AD11" s="1106"/>
      <c r="AE11" s="1095" t="s">
        <v>460</v>
      </c>
      <c r="AF11" s="1095"/>
      <c r="AG11" s="1095"/>
      <c r="AI11" s="1274"/>
      <c r="AJ11" s="861"/>
      <c r="AK11" s="861"/>
      <c r="AL11" s="861"/>
      <c r="AM11" s="861"/>
      <c r="AN11" s="861"/>
      <c r="AO11" s="861"/>
      <c r="AP11" s="861"/>
      <c r="AQ11" s="861"/>
      <c r="AR11" s="861"/>
      <c r="AS11" s="861"/>
      <c r="AT11" s="861"/>
      <c r="AU11" s="861"/>
      <c r="AV11" s="1188"/>
    </row>
    <row r="12" spans="1:48" ht="15" customHeight="1">
      <c r="A12" s="73"/>
      <c r="F12" s="72"/>
      <c r="H12" s="1093"/>
      <c r="I12" s="1094"/>
      <c r="J12" s="1094"/>
      <c r="K12" s="1094"/>
      <c r="L12" s="1083" t="s">
        <v>453</v>
      </c>
      <c r="M12" s="1084"/>
      <c r="N12" s="1085"/>
      <c r="O12" s="379"/>
      <c r="P12" s="976">
        <v>0.5</v>
      </c>
      <c r="Q12" s="1270"/>
      <c r="R12" s="976"/>
      <c r="S12" s="977"/>
      <c r="U12" s="73"/>
      <c r="V12" s="1107" t="s">
        <v>462</v>
      </c>
      <c r="W12" s="1108"/>
      <c r="X12" s="1108"/>
      <c r="Y12" s="1108"/>
      <c r="Z12" s="1109"/>
      <c r="AA12" s="379"/>
      <c r="AB12" s="1271">
        <f>P9-(AB8-AB9+P11)</f>
        <v>24</v>
      </c>
      <c r="AC12" s="1272"/>
      <c r="AD12" s="1273"/>
      <c r="AE12" s="1271">
        <f>AB12-0.5</f>
        <v>23.5</v>
      </c>
      <c r="AF12" s="1272"/>
      <c r="AG12" s="1273"/>
      <c r="AI12" s="1274"/>
      <c r="AJ12" s="861"/>
      <c r="AK12" s="861"/>
      <c r="AL12" s="861"/>
      <c r="AM12" s="861"/>
      <c r="AN12" s="861"/>
      <c r="AO12" s="861"/>
      <c r="AP12" s="861"/>
      <c r="AQ12" s="861"/>
      <c r="AR12" s="861"/>
      <c r="AS12" s="861"/>
      <c r="AT12" s="861"/>
      <c r="AU12" s="861"/>
      <c r="AV12" s="1188"/>
    </row>
    <row r="13" spans="1:48" ht="15" customHeight="1">
      <c r="A13" s="73"/>
      <c r="F13" s="72"/>
      <c r="H13" s="1083" t="s">
        <v>464</v>
      </c>
      <c r="I13" s="1084"/>
      <c r="J13" s="1084"/>
      <c r="K13" s="1084"/>
      <c r="L13" s="1084"/>
      <c r="M13" s="1084"/>
      <c r="N13" s="1085"/>
      <c r="O13" s="379"/>
      <c r="P13" s="976">
        <v>0.5</v>
      </c>
      <c r="Q13" s="1270"/>
      <c r="R13" s="976"/>
      <c r="S13" s="977"/>
      <c r="U13" s="73"/>
      <c r="V13" s="1090" t="s">
        <v>465</v>
      </c>
      <c r="W13" s="1090"/>
      <c r="X13" s="1090"/>
      <c r="Y13" s="1090"/>
      <c r="Z13" s="1090"/>
      <c r="AA13" s="378"/>
      <c r="AB13" s="1269">
        <f>AB8-AB10-P10</f>
        <v>-17.5</v>
      </c>
      <c r="AC13" s="1269"/>
      <c r="AD13" s="1269"/>
      <c r="AE13" s="1269">
        <f>AB13-0.5</f>
        <v>-18</v>
      </c>
      <c r="AF13" s="1269"/>
      <c r="AG13" s="1269"/>
      <c r="AI13" s="1274"/>
      <c r="AJ13" s="861"/>
      <c r="AK13" s="861"/>
      <c r="AL13" s="861"/>
      <c r="AM13" s="861"/>
      <c r="AN13" s="861"/>
      <c r="AO13" s="861"/>
      <c r="AP13" s="861"/>
      <c r="AQ13" s="861"/>
      <c r="AR13" s="861"/>
      <c r="AS13" s="861"/>
      <c r="AT13" s="861"/>
      <c r="AU13" s="861"/>
      <c r="AV13" s="1188"/>
    </row>
    <row r="14" spans="1:48" ht="15" customHeight="1">
      <c r="A14" s="73"/>
      <c r="F14" s="72"/>
      <c r="G14" s="15"/>
      <c r="H14" s="18" t="s">
        <v>565</v>
      </c>
      <c r="P14" s="15"/>
      <c r="Q14" s="436"/>
      <c r="R14" s="436"/>
      <c r="S14" s="436"/>
      <c r="U14" s="73"/>
      <c r="V14" s="1075" t="s">
        <v>420</v>
      </c>
      <c r="W14" s="1075"/>
      <c r="X14" s="1075"/>
      <c r="Y14" s="1075"/>
      <c r="Z14" s="1075"/>
      <c r="AA14" s="988" t="str">
        <f>IF(OR(AB12&lt;0,AE12&lt;0,AB13&lt;0,AE13&lt;0),"**Unacceptable**","Acceptable")</f>
        <v>**Unacceptable**</v>
      </c>
      <c r="AB14" s="1076"/>
      <c r="AC14" s="1076"/>
      <c r="AD14" s="1076"/>
      <c r="AE14" s="1076"/>
      <c r="AF14" s="1076"/>
      <c r="AG14" s="989"/>
      <c r="AI14" s="1274"/>
      <c r="AJ14" s="861"/>
      <c r="AK14" s="861"/>
      <c r="AL14" s="861"/>
      <c r="AM14" s="861"/>
      <c r="AN14" s="861"/>
      <c r="AO14" s="861"/>
      <c r="AP14" s="861"/>
      <c r="AQ14" s="861"/>
      <c r="AR14" s="861"/>
      <c r="AS14" s="861"/>
      <c r="AT14" s="861"/>
      <c r="AU14" s="861"/>
      <c r="AV14" s="1188"/>
    </row>
    <row r="15" spans="1:48" ht="15" customHeight="1">
      <c r="A15" s="73"/>
      <c r="F15" s="72"/>
      <c r="H15" s="18" t="s">
        <v>566</v>
      </c>
      <c r="K15" s="15"/>
      <c r="M15" s="24"/>
      <c r="N15" s="24"/>
      <c r="O15" s="24"/>
      <c r="P15" s="15"/>
      <c r="Q15" s="436"/>
      <c r="R15" s="436"/>
      <c r="S15" s="436"/>
      <c r="U15" s="73"/>
      <c r="V15" s="149"/>
      <c r="W15" s="149"/>
      <c r="X15" s="149"/>
      <c r="Y15" s="149"/>
      <c r="Z15" s="149"/>
      <c r="AA15" s="149"/>
      <c r="AB15" s="149"/>
      <c r="AC15" s="149"/>
      <c r="AD15" s="149"/>
      <c r="AE15" s="149"/>
      <c r="AF15" s="149"/>
      <c r="AG15" s="149"/>
      <c r="AI15" s="1274"/>
      <c r="AJ15" s="861"/>
      <c r="AK15" s="861"/>
      <c r="AL15" s="861"/>
      <c r="AM15" s="861"/>
      <c r="AN15" s="861"/>
      <c r="AO15" s="861"/>
      <c r="AP15" s="861"/>
      <c r="AQ15" s="861"/>
      <c r="AR15" s="861"/>
      <c r="AS15" s="861"/>
      <c r="AT15" s="861"/>
      <c r="AU15" s="861"/>
      <c r="AV15" s="1188"/>
    </row>
    <row r="16" spans="1:48" ht="15" customHeight="1">
      <c r="A16" s="73"/>
      <c r="G16" s="1263"/>
      <c r="H16" s="1264"/>
      <c r="I16" s="1264"/>
      <c r="J16" s="1264"/>
      <c r="K16" s="1264"/>
      <c r="L16" s="1264"/>
      <c r="M16" s="1264"/>
      <c r="N16" s="1264"/>
      <c r="O16" s="1264"/>
      <c r="P16" s="1264"/>
      <c r="Q16" s="1264"/>
      <c r="R16" s="1264"/>
      <c r="S16" s="1264"/>
      <c r="T16" s="1265"/>
      <c r="U16" s="1263"/>
      <c r="V16" s="1264"/>
      <c r="W16" s="1264"/>
      <c r="X16" s="1264"/>
      <c r="Y16" s="1264"/>
      <c r="Z16" s="1264"/>
      <c r="AA16" s="1264"/>
      <c r="AB16" s="1264"/>
      <c r="AC16" s="1264"/>
      <c r="AD16" s="1264"/>
      <c r="AE16" s="1264"/>
      <c r="AF16" s="1264"/>
      <c r="AG16" s="1264"/>
      <c r="AH16" s="1265"/>
      <c r="AI16" s="1274"/>
      <c r="AJ16" s="861"/>
      <c r="AK16" s="861"/>
      <c r="AL16" s="861"/>
      <c r="AM16" s="861"/>
      <c r="AN16" s="861"/>
      <c r="AO16" s="861"/>
      <c r="AP16" s="861"/>
      <c r="AQ16" s="861"/>
      <c r="AR16" s="861"/>
      <c r="AS16" s="861"/>
      <c r="AT16" s="861"/>
      <c r="AU16" s="861"/>
      <c r="AV16" s="1188"/>
    </row>
    <row r="17" spans="1:48" ht="15" customHeight="1">
      <c r="A17" s="73"/>
      <c r="G17" s="1263"/>
      <c r="H17" s="1264"/>
      <c r="I17" s="1264"/>
      <c r="J17" s="1264"/>
      <c r="K17" s="1264"/>
      <c r="L17" s="1264"/>
      <c r="M17" s="1264"/>
      <c r="N17" s="1264"/>
      <c r="O17" s="1264"/>
      <c r="P17" s="1264"/>
      <c r="Q17" s="1264"/>
      <c r="R17" s="1264"/>
      <c r="S17" s="1264"/>
      <c r="T17" s="1265"/>
      <c r="U17" s="1263"/>
      <c r="V17" s="1264"/>
      <c r="W17" s="1264"/>
      <c r="X17" s="1264"/>
      <c r="Y17" s="1264"/>
      <c r="Z17" s="1264"/>
      <c r="AA17" s="1264"/>
      <c r="AB17" s="1264"/>
      <c r="AC17" s="1264"/>
      <c r="AD17" s="1264"/>
      <c r="AE17" s="1264"/>
      <c r="AF17" s="1264"/>
      <c r="AG17" s="1264"/>
      <c r="AH17" s="1265"/>
      <c r="AI17" s="1274"/>
      <c r="AJ17" s="861"/>
      <c r="AK17" s="861"/>
      <c r="AL17" s="861"/>
      <c r="AM17" s="861"/>
      <c r="AN17" s="861"/>
      <c r="AO17" s="861"/>
      <c r="AP17" s="861"/>
      <c r="AQ17" s="861"/>
      <c r="AR17" s="861"/>
      <c r="AS17" s="861"/>
      <c r="AT17" s="861"/>
      <c r="AU17" s="861"/>
      <c r="AV17" s="1188"/>
    </row>
    <row r="18" spans="1:48" ht="15" customHeight="1">
      <c r="A18" s="73"/>
      <c r="G18" s="1263"/>
      <c r="H18" s="1264"/>
      <c r="I18" s="1264"/>
      <c r="J18" s="1264"/>
      <c r="K18" s="1264"/>
      <c r="L18" s="1264"/>
      <c r="M18" s="1264"/>
      <c r="N18" s="1264"/>
      <c r="O18" s="1264"/>
      <c r="P18" s="1264"/>
      <c r="Q18" s="1264"/>
      <c r="R18" s="1264"/>
      <c r="S18" s="1264"/>
      <c r="T18" s="1265"/>
      <c r="U18" s="1263"/>
      <c r="V18" s="1264"/>
      <c r="W18" s="1264"/>
      <c r="X18" s="1264"/>
      <c r="Y18" s="1264"/>
      <c r="Z18" s="1264"/>
      <c r="AA18" s="1264"/>
      <c r="AB18" s="1264"/>
      <c r="AC18" s="1264"/>
      <c r="AD18" s="1264"/>
      <c r="AE18" s="1264"/>
      <c r="AF18" s="1264"/>
      <c r="AG18" s="1264"/>
      <c r="AH18" s="1265"/>
      <c r="AI18" s="1274"/>
      <c r="AJ18" s="861"/>
      <c r="AK18" s="861"/>
      <c r="AL18" s="861"/>
      <c r="AM18" s="861"/>
      <c r="AN18" s="861"/>
      <c r="AO18" s="861"/>
      <c r="AP18" s="861"/>
      <c r="AQ18" s="861"/>
      <c r="AR18" s="861"/>
      <c r="AS18" s="861"/>
      <c r="AT18" s="861"/>
      <c r="AU18" s="861"/>
      <c r="AV18" s="1188"/>
    </row>
    <row r="19" spans="1:48" ht="15" customHeight="1">
      <c r="A19" s="73"/>
      <c r="G19" s="1263"/>
      <c r="H19" s="1264"/>
      <c r="I19" s="1264"/>
      <c r="J19" s="1264"/>
      <c r="K19" s="1264"/>
      <c r="L19" s="1264"/>
      <c r="M19" s="1264"/>
      <c r="N19" s="1264"/>
      <c r="O19" s="1264"/>
      <c r="P19" s="1264"/>
      <c r="Q19" s="1264"/>
      <c r="R19" s="1264"/>
      <c r="S19" s="1264"/>
      <c r="T19" s="1265"/>
      <c r="U19" s="1263"/>
      <c r="V19" s="1264"/>
      <c r="W19" s="1264"/>
      <c r="X19" s="1264"/>
      <c r="Y19" s="1264"/>
      <c r="Z19" s="1264"/>
      <c r="AA19" s="1264"/>
      <c r="AB19" s="1264"/>
      <c r="AC19" s="1264"/>
      <c r="AD19" s="1264"/>
      <c r="AE19" s="1264"/>
      <c r="AF19" s="1264"/>
      <c r="AG19" s="1264"/>
      <c r="AH19" s="1265"/>
      <c r="AI19" s="1274"/>
      <c r="AJ19" s="861"/>
      <c r="AK19" s="861"/>
      <c r="AL19" s="861"/>
      <c r="AM19" s="861"/>
      <c r="AN19" s="861"/>
      <c r="AO19" s="861"/>
      <c r="AP19" s="861"/>
      <c r="AQ19" s="861"/>
      <c r="AR19" s="861"/>
      <c r="AS19" s="861"/>
      <c r="AT19" s="861"/>
      <c r="AU19" s="861"/>
      <c r="AV19" s="1188"/>
    </row>
    <row r="20" spans="1:48" ht="15" customHeight="1">
      <c r="A20" s="73"/>
      <c r="B20" s="18"/>
      <c r="C20" s="18"/>
      <c r="D20" s="18"/>
      <c r="E20" s="18"/>
      <c r="G20" s="1263"/>
      <c r="H20" s="1264"/>
      <c r="I20" s="1264"/>
      <c r="J20" s="1264"/>
      <c r="K20" s="1264"/>
      <c r="L20" s="1264"/>
      <c r="M20" s="1264"/>
      <c r="N20" s="1264"/>
      <c r="O20" s="1264"/>
      <c r="P20" s="1264"/>
      <c r="Q20" s="1264"/>
      <c r="R20" s="1264"/>
      <c r="S20" s="1264"/>
      <c r="T20" s="1265"/>
      <c r="U20" s="1263"/>
      <c r="V20" s="1264"/>
      <c r="W20" s="1264"/>
      <c r="X20" s="1264"/>
      <c r="Y20" s="1264"/>
      <c r="Z20" s="1264"/>
      <c r="AA20" s="1264"/>
      <c r="AB20" s="1264"/>
      <c r="AC20" s="1264"/>
      <c r="AD20" s="1264"/>
      <c r="AE20" s="1264"/>
      <c r="AF20" s="1264"/>
      <c r="AG20" s="1264"/>
      <c r="AH20" s="1265"/>
      <c r="AI20" s="1274"/>
      <c r="AJ20" s="861"/>
      <c r="AK20" s="861"/>
      <c r="AL20" s="861"/>
      <c r="AM20" s="861"/>
      <c r="AN20" s="861"/>
      <c r="AO20" s="861"/>
      <c r="AP20" s="861"/>
      <c r="AQ20" s="861"/>
      <c r="AR20" s="861"/>
      <c r="AS20" s="861"/>
      <c r="AT20" s="861"/>
      <c r="AU20" s="861"/>
      <c r="AV20" s="1188"/>
    </row>
    <row r="21" spans="1:48" ht="15" customHeight="1">
      <c r="A21" s="73"/>
      <c r="B21" s="18"/>
      <c r="C21" s="18"/>
      <c r="D21" s="18"/>
      <c r="E21" s="18"/>
      <c r="G21" s="1263"/>
      <c r="H21" s="1264"/>
      <c r="I21" s="1264"/>
      <c r="J21" s="1264"/>
      <c r="K21" s="1264"/>
      <c r="L21" s="1264"/>
      <c r="M21" s="1264"/>
      <c r="N21" s="1264"/>
      <c r="O21" s="1264"/>
      <c r="P21" s="1264"/>
      <c r="Q21" s="1264"/>
      <c r="R21" s="1264"/>
      <c r="S21" s="1264"/>
      <c r="T21" s="1265"/>
      <c r="U21" s="1263"/>
      <c r="V21" s="1264"/>
      <c r="W21" s="1264"/>
      <c r="X21" s="1264"/>
      <c r="Y21" s="1264"/>
      <c r="Z21" s="1264"/>
      <c r="AA21" s="1264"/>
      <c r="AB21" s="1264"/>
      <c r="AC21" s="1264"/>
      <c r="AD21" s="1264"/>
      <c r="AE21" s="1264"/>
      <c r="AF21" s="1264"/>
      <c r="AG21" s="1264"/>
      <c r="AH21" s="1265"/>
      <c r="AI21" s="1274"/>
      <c r="AJ21" s="861"/>
      <c r="AK21" s="861"/>
      <c r="AL21" s="861"/>
      <c r="AM21" s="861"/>
      <c r="AN21" s="861"/>
      <c r="AO21" s="861"/>
      <c r="AP21" s="861"/>
      <c r="AQ21" s="861"/>
      <c r="AR21" s="861"/>
      <c r="AS21" s="861"/>
      <c r="AT21" s="861"/>
      <c r="AU21" s="861"/>
      <c r="AV21" s="1188"/>
    </row>
    <row r="22" spans="1:48" ht="15" customHeight="1">
      <c r="A22" s="73"/>
      <c r="B22" s="18"/>
      <c r="C22" s="18"/>
      <c r="D22" s="18"/>
      <c r="E22" s="18"/>
      <c r="G22" s="1263"/>
      <c r="H22" s="1264"/>
      <c r="I22" s="1264"/>
      <c r="J22" s="1264"/>
      <c r="K22" s="1264"/>
      <c r="L22" s="1264"/>
      <c r="M22" s="1264"/>
      <c r="N22" s="1264"/>
      <c r="O22" s="1264"/>
      <c r="P22" s="1264"/>
      <c r="Q22" s="1264"/>
      <c r="R22" s="1264"/>
      <c r="S22" s="1264"/>
      <c r="T22" s="1265"/>
      <c r="U22" s="1263"/>
      <c r="V22" s="1264"/>
      <c r="W22" s="1264"/>
      <c r="X22" s="1264"/>
      <c r="Y22" s="1264"/>
      <c r="Z22" s="1264"/>
      <c r="AA22" s="1264"/>
      <c r="AB22" s="1264"/>
      <c r="AC22" s="1264"/>
      <c r="AD22" s="1264"/>
      <c r="AE22" s="1264"/>
      <c r="AF22" s="1264"/>
      <c r="AG22" s="1264"/>
      <c r="AH22" s="1265"/>
      <c r="AI22" s="1274"/>
      <c r="AJ22" s="861"/>
      <c r="AK22" s="861"/>
      <c r="AL22" s="861"/>
      <c r="AM22" s="861"/>
      <c r="AN22" s="861"/>
      <c r="AO22" s="861"/>
      <c r="AP22" s="861"/>
      <c r="AQ22" s="861"/>
      <c r="AR22" s="861"/>
      <c r="AS22" s="861"/>
      <c r="AT22" s="861"/>
      <c r="AU22" s="861"/>
      <c r="AV22" s="1188"/>
    </row>
    <row r="23" spans="1:48" ht="15" customHeight="1">
      <c r="A23" s="73"/>
      <c r="B23" s="18"/>
      <c r="C23" s="18"/>
      <c r="D23" s="18"/>
      <c r="E23" s="18"/>
      <c r="G23" s="1263"/>
      <c r="H23" s="1264"/>
      <c r="I23" s="1264"/>
      <c r="J23" s="1264"/>
      <c r="K23" s="1264"/>
      <c r="L23" s="1264"/>
      <c r="M23" s="1264"/>
      <c r="N23" s="1264"/>
      <c r="O23" s="1264"/>
      <c r="P23" s="1264"/>
      <c r="Q23" s="1264"/>
      <c r="R23" s="1264"/>
      <c r="S23" s="1264"/>
      <c r="T23" s="1265"/>
      <c r="U23" s="1263"/>
      <c r="V23" s="1264"/>
      <c r="W23" s="1264"/>
      <c r="X23" s="1264"/>
      <c r="Y23" s="1264"/>
      <c r="Z23" s="1264"/>
      <c r="AA23" s="1264"/>
      <c r="AB23" s="1264"/>
      <c r="AC23" s="1264"/>
      <c r="AD23" s="1264"/>
      <c r="AE23" s="1264"/>
      <c r="AF23" s="1264"/>
      <c r="AG23" s="1264"/>
      <c r="AH23" s="1265"/>
      <c r="AI23" s="1274"/>
      <c r="AJ23" s="861"/>
      <c r="AK23" s="861"/>
      <c r="AL23" s="861"/>
      <c r="AM23" s="861"/>
      <c r="AN23" s="861"/>
      <c r="AO23" s="861"/>
      <c r="AP23" s="861"/>
      <c r="AQ23" s="861"/>
      <c r="AR23" s="861"/>
      <c r="AS23" s="861"/>
      <c r="AT23" s="861"/>
      <c r="AU23" s="861"/>
      <c r="AV23" s="1188"/>
    </row>
    <row r="24" spans="1:48" ht="15" customHeight="1">
      <c r="A24" s="73"/>
      <c r="B24" s="18"/>
      <c r="C24" s="18"/>
      <c r="D24" s="18"/>
      <c r="E24" s="18"/>
      <c r="G24" s="1263"/>
      <c r="H24" s="1264"/>
      <c r="I24" s="1264"/>
      <c r="J24" s="1264"/>
      <c r="K24" s="1264"/>
      <c r="L24" s="1264"/>
      <c r="M24" s="1264"/>
      <c r="N24" s="1264"/>
      <c r="O24" s="1264"/>
      <c r="P24" s="1264"/>
      <c r="Q24" s="1264"/>
      <c r="R24" s="1264"/>
      <c r="S24" s="1264"/>
      <c r="T24" s="1265"/>
      <c r="U24" s="1263"/>
      <c r="V24" s="1264"/>
      <c r="W24" s="1264"/>
      <c r="X24" s="1264"/>
      <c r="Y24" s="1264"/>
      <c r="Z24" s="1264"/>
      <c r="AA24" s="1264"/>
      <c r="AB24" s="1264"/>
      <c r="AC24" s="1264"/>
      <c r="AD24" s="1264"/>
      <c r="AE24" s="1264"/>
      <c r="AF24" s="1264"/>
      <c r="AG24" s="1264"/>
      <c r="AH24" s="1265"/>
      <c r="AI24" s="1274"/>
      <c r="AJ24" s="861"/>
      <c r="AK24" s="861"/>
      <c r="AL24" s="861"/>
      <c r="AM24" s="861"/>
      <c r="AN24" s="861"/>
      <c r="AO24" s="861"/>
      <c r="AP24" s="861"/>
      <c r="AQ24" s="861"/>
      <c r="AR24" s="861"/>
      <c r="AS24" s="861"/>
      <c r="AT24" s="861"/>
      <c r="AU24" s="861"/>
      <c r="AV24" s="1188"/>
    </row>
    <row r="25" spans="1:48" ht="15" customHeight="1">
      <c r="A25" s="73"/>
      <c r="B25" s="18"/>
      <c r="C25" s="18"/>
      <c r="D25" s="18"/>
      <c r="E25" s="18"/>
      <c r="G25" s="1263"/>
      <c r="H25" s="1264"/>
      <c r="I25" s="1264"/>
      <c r="J25" s="1264"/>
      <c r="K25" s="1264"/>
      <c r="L25" s="1264"/>
      <c r="M25" s="1264"/>
      <c r="N25" s="1264"/>
      <c r="O25" s="1264"/>
      <c r="P25" s="1264"/>
      <c r="Q25" s="1264"/>
      <c r="R25" s="1264"/>
      <c r="S25" s="1264"/>
      <c r="T25" s="1265"/>
      <c r="U25" s="1263"/>
      <c r="V25" s="1264"/>
      <c r="W25" s="1264"/>
      <c r="X25" s="1264"/>
      <c r="Y25" s="1264"/>
      <c r="Z25" s="1264"/>
      <c r="AA25" s="1264"/>
      <c r="AB25" s="1264"/>
      <c r="AC25" s="1264"/>
      <c r="AD25" s="1264"/>
      <c r="AE25" s="1264"/>
      <c r="AF25" s="1264"/>
      <c r="AG25" s="1264"/>
      <c r="AH25" s="1265"/>
      <c r="AI25" s="1274"/>
      <c r="AJ25" s="861"/>
      <c r="AK25" s="861"/>
      <c r="AL25" s="861"/>
      <c r="AM25" s="861"/>
      <c r="AN25" s="861"/>
      <c r="AO25" s="861"/>
      <c r="AP25" s="861"/>
      <c r="AQ25" s="861"/>
      <c r="AR25" s="861"/>
      <c r="AS25" s="861"/>
      <c r="AT25" s="861"/>
      <c r="AU25" s="861"/>
      <c r="AV25" s="1188"/>
    </row>
    <row r="26" spans="1:48" ht="15" customHeight="1">
      <c r="A26" s="73"/>
      <c r="B26" s="18"/>
      <c r="C26" s="18"/>
      <c r="D26" s="18"/>
      <c r="E26" s="18"/>
      <c r="G26" s="1263"/>
      <c r="H26" s="1264"/>
      <c r="I26" s="1264"/>
      <c r="J26" s="1264"/>
      <c r="K26" s="1264"/>
      <c r="L26" s="1264"/>
      <c r="M26" s="1264"/>
      <c r="N26" s="1264"/>
      <c r="O26" s="1264"/>
      <c r="P26" s="1264"/>
      <c r="Q26" s="1264"/>
      <c r="R26" s="1264"/>
      <c r="S26" s="1264"/>
      <c r="T26" s="1265"/>
      <c r="U26" s="1263"/>
      <c r="V26" s="1264"/>
      <c r="W26" s="1264"/>
      <c r="X26" s="1264"/>
      <c r="Y26" s="1264"/>
      <c r="Z26" s="1264"/>
      <c r="AA26" s="1264"/>
      <c r="AB26" s="1264"/>
      <c r="AC26" s="1264"/>
      <c r="AD26" s="1264"/>
      <c r="AE26" s="1264"/>
      <c r="AF26" s="1264"/>
      <c r="AG26" s="1264"/>
      <c r="AH26" s="1265"/>
      <c r="AI26" s="1274"/>
      <c r="AJ26" s="861"/>
      <c r="AK26" s="861"/>
      <c r="AL26" s="861"/>
      <c r="AM26" s="861"/>
      <c r="AN26" s="861"/>
      <c r="AO26" s="861"/>
      <c r="AP26" s="861"/>
      <c r="AQ26" s="861"/>
      <c r="AR26" s="861"/>
      <c r="AS26" s="861"/>
      <c r="AT26" s="861"/>
      <c r="AU26" s="861"/>
      <c r="AV26" s="1188"/>
    </row>
    <row r="27" spans="1:48" ht="15" customHeight="1">
      <c r="A27" s="73"/>
      <c r="G27" s="1263"/>
      <c r="H27" s="1264"/>
      <c r="I27" s="1264"/>
      <c r="J27" s="1264"/>
      <c r="K27" s="1264"/>
      <c r="L27" s="1264"/>
      <c r="M27" s="1264"/>
      <c r="N27" s="1264"/>
      <c r="O27" s="1264"/>
      <c r="P27" s="1264"/>
      <c r="Q27" s="1264"/>
      <c r="R27" s="1264"/>
      <c r="S27" s="1264"/>
      <c r="T27" s="1265"/>
      <c r="U27" s="1263"/>
      <c r="V27" s="1264"/>
      <c r="W27" s="1264"/>
      <c r="X27" s="1264"/>
      <c r="Y27" s="1264"/>
      <c r="Z27" s="1264"/>
      <c r="AA27" s="1264"/>
      <c r="AB27" s="1264"/>
      <c r="AC27" s="1264"/>
      <c r="AD27" s="1264"/>
      <c r="AE27" s="1264"/>
      <c r="AF27" s="1264"/>
      <c r="AG27" s="1264"/>
      <c r="AH27" s="1265"/>
      <c r="AI27" s="1274"/>
      <c r="AJ27" s="861"/>
      <c r="AK27" s="861"/>
      <c r="AL27" s="861"/>
      <c r="AM27" s="861"/>
      <c r="AN27" s="861"/>
      <c r="AO27" s="861"/>
      <c r="AP27" s="861"/>
      <c r="AQ27" s="861"/>
      <c r="AR27" s="861"/>
      <c r="AS27" s="861"/>
      <c r="AT27" s="861"/>
      <c r="AU27" s="861"/>
      <c r="AV27" s="1188"/>
    </row>
    <row r="28" spans="1:48" ht="15" customHeight="1">
      <c r="A28" s="73"/>
      <c r="G28" s="1263"/>
      <c r="H28" s="1264"/>
      <c r="I28" s="1264"/>
      <c r="J28" s="1264"/>
      <c r="K28" s="1264"/>
      <c r="L28" s="1264"/>
      <c r="M28" s="1264"/>
      <c r="N28" s="1264"/>
      <c r="O28" s="1264"/>
      <c r="P28" s="1264"/>
      <c r="Q28" s="1264"/>
      <c r="R28" s="1264"/>
      <c r="S28" s="1264"/>
      <c r="T28" s="1265"/>
      <c r="U28" s="1263"/>
      <c r="V28" s="1264"/>
      <c r="W28" s="1264"/>
      <c r="X28" s="1264"/>
      <c r="Y28" s="1264"/>
      <c r="Z28" s="1264"/>
      <c r="AA28" s="1264"/>
      <c r="AB28" s="1264"/>
      <c r="AC28" s="1264"/>
      <c r="AD28" s="1264"/>
      <c r="AE28" s="1264"/>
      <c r="AF28" s="1264"/>
      <c r="AG28" s="1264"/>
      <c r="AH28" s="1265"/>
      <c r="AI28" s="1274"/>
      <c r="AJ28" s="861"/>
      <c r="AK28" s="861"/>
      <c r="AL28" s="861"/>
      <c r="AM28" s="861"/>
      <c r="AN28" s="861"/>
      <c r="AO28" s="861"/>
      <c r="AP28" s="861"/>
      <c r="AQ28" s="861"/>
      <c r="AR28" s="861"/>
      <c r="AS28" s="861"/>
      <c r="AT28" s="861"/>
      <c r="AU28" s="861"/>
      <c r="AV28" s="1188"/>
    </row>
    <row r="29" spans="1:48" ht="15" customHeight="1">
      <c r="A29" s="73"/>
      <c r="G29" s="1263"/>
      <c r="H29" s="1264"/>
      <c r="I29" s="1264"/>
      <c r="J29" s="1264"/>
      <c r="K29" s="1264"/>
      <c r="L29" s="1264"/>
      <c r="M29" s="1264"/>
      <c r="N29" s="1264"/>
      <c r="O29" s="1264"/>
      <c r="P29" s="1264"/>
      <c r="Q29" s="1264"/>
      <c r="R29" s="1264"/>
      <c r="S29" s="1264"/>
      <c r="T29" s="1265"/>
      <c r="U29" s="1263"/>
      <c r="V29" s="1264"/>
      <c r="W29" s="1264"/>
      <c r="X29" s="1264"/>
      <c r="Y29" s="1264"/>
      <c r="Z29" s="1264"/>
      <c r="AA29" s="1264"/>
      <c r="AB29" s="1264"/>
      <c r="AC29" s="1264"/>
      <c r="AD29" s="1264"/>
      <c r="AE29" s="1264"/>
      <c r="AF29" s="1264"/>
      <c r="AG29" s="1264"/>
      <c r="AH29" s="1265"/>
      <c r="AI29" s="1275"/>
      <c r="AJ29" s="1276"/>
      <c r="AK29" s="1276"/>
      <c r="AL29" s="1276"/>
      <c r="AM29" s="1276"/>
      <c r="AN29" s="1276"/>
      <c r="AO29" s="1276"/>
      <c r="AP29" s="1276"/>
      <c r="AQ29" s="1276"/>
      <c r="AR29" s="1276"/>
      <c r="AS29" s="1276"/>
      <c r="AT29" s="1276"/>
      <c r="AU29" s="1276"/>
      <c r="AV29" s="1277"/>
    </row>
    <row r="30" spans="1:48" ht="15" customHeight="1">
      <c r="A30" s="73"/>
      <c r="G30" s="1263"/>
      <c r="H30" s="1264"/>
      <c r="I30" s="1264"/>
      <c r="J30" s="1264"/>
      <c r="K30" s="1264"/>
      <c r="L30" s="1264"/>
      <c r="M30" s="1264"/>
      <c r="N30" s="1264"/>
      <c r="O30" s="1264"/>
      <c r="P30" s="1264"/>
      <c r="Q30" s="1264"/>
      <c r="R30" s="1264"/>
      <c r="S30" s="1264"/>
      <c r="T30" s="1265"/>
      <c r="U30" s="1263"/>
      <c r="V30" s="1264"/>
      <c r="W30" s="1264"/>
      <c r="X30" s="1264"/>
      <c r="Y30" s="1264"/>
      <c r="Z30" s="1264"/>
      <c r="AA30" s="1264"/>
      <c r="AB30" s="1264"/>
      <c r="AC30" s="1264"/>
      <c r="AD30" s="1264"/>
      <c r="AE30" s="1264"/>
      <c r="AF30" s="1264"/>
      <c r="AG30" s="1264"/>
      <c r="AH30" s="1265"/>
      <c r="AI30" s="1266" t="s">
        <v>567</v>
      </c>
      <c r="AJ30" s="1267"/>
      <c r="AK30" s="1267"/>
      <c r="AL30" s="1267"/>
      <c r="AM30" s="1267"/>
      <c r="AN30" s="1267"/>
      <c r="AO30" s="1267"/>
      <c r="AP30" s="1267"/>
      <c r="AQ30" s="1267"/>
      <c r="AR30" s="1267"/>
      <c r="AS30" s="1267"/>
      <c r="AT30" s="1267"/>
      <c r="AU30" s="1267"/>
      <c r="AV30" s="1268"/>
    </row>
    <row r="31" spans="1:48" ht="15" customHeight="1">
      <c r="A31" s="73"/>
      <c r="G31" s="1263"/>
      <c r="H31" s="1264"/>
      <c r="I31" s="1264"/>
      <c r="J31" s="1264"/>
      <c r="K31" s="1264"/>
      <c r="L31" s="1264"/>
      <c r="M31" s="1264"/>
      <c r="N31" s="1264"/>
      <c r="O31" s="1264"/>
      <c r="P31" s="1264"/>
      <c r="Q31" s="1264"/>
      <c r="R31" s="1264"/>
      <c r="S31" s="1264"/>
      <c r="T31" s="1265"/>
      <c r="U31" s="1263"/>
      <c r="V31" s="1264"/>
      <c r="W31" s="1264"/>
      <c r="X31" s="1264"/>
      <c r="Y31" s="1264"/>
      <c r="Z31" s="1264"/>
      <c r="AA31" s="1264"/>
      <c r="AB31" s="1264"/>
      <c r="AC31" s="1264"/>
      <c r="AD31" s="1264"/>
      <c r="AE31" s="1264"/>
      <c r="AF31" s="1264"/>
      <c r="AG31" s="1264"/>
      <c r="AH31" s="1265"/>
      <c r="AI31" s="30" t="s">
        <v>568</v>
      </c>
      <c r="AV31" s="21"/>
    </row>
    <row r="32" spans="1:48" ht="15" customHeight="1">
      <c r="A32" s="73"/>
      <c r="G32" s="1263"/>
      <c r="H32" s="1264"/>
      <c r="I32" s="1264"/>
      <c r="J32" s="1264"/>
      <c r="K32" s="1264"/>
      <c r="L32" s="1264"/>
      <c r="M32" s="1264"/>
      <c r="N32" s="1264"/>
      <c r="O32" s="1264"/>
      <c r="P32" s="1264"/>
      <c r="Q32" s="1264"/>
      <c r="R32" s="1264"/>
      <c r="S32" s="1264"/>
      <c r="T32" s="1265"/>
      <c r="U32" s="1263"/>
      <c r="V32" s="1264"/>
      <c r="W32" s="1264"/>
      <c r="X32" s="1264"/>
      <c r="Y32" s="1264"/>
      <c r="Z32" s="1264"/>
      <c r="AA32" s="1264"/>
      <c r="AB32" s="1264"/>
      <c r="AC32" s="1264"/>
      <c r="AD32" s="1264"/>
      <c r="AE32" s="1264"/>
      <c r="AF32" s="1264"/>
      <c r="AG32" s="1264"/>
      <c r="AH32" s="1265"/>
      <c r="AI32" s="18" t="s">
        <v>569</v>
      </c>
      <c r="AL32" s="15" t="s">
        <v>30</v>
      </c>
      <c r="AM32" s="125">
        <v>7</v>
      </c>
      <c r="AN32" s="294" t="s">
        <v>570</v>
      </c>
      <c r="AO32" s="93" t="s">
        <v>571</v>
      </c>
      <c r="AV32" s="21"/>
    </row>
    <row r="33" spans="1:48" ht="15" customHeight="1">
      <c r="A33" s="73"/>
      <c r="G33" s="1263"/>
      <c r="H33" s="1264"/>
      <c r="I33" s="1264"/>
      <c r="J33" s="1264"/>
      <c r="K33" s="1264"/>
      <c r="L33" s="1264"/>
      <c r="M33" s="1264"/>
      <c r="N33" s="1264"/>
      <c r="O33" s="1264"/>
      <c r="P33" s="1264"/>
      <c r="Q33" s="1264"/>
      <c r="R33" s="1264"/>
      <c r="S33" s="1264"/>
      <c r="T33" s="1265"/>
      <c r="U33" s="1263"/>
      <c r="V33" s="1264"/>
      <c r="W33" s="1264"/>
      <c r="X33" s="1264"/>
      <c r="Y33" s="1264"/>
      <c r="Z33" s="1264"/>
      <c r="AA33" s="1264"/>
      <c r="AB33" s="1264"/>
      <c r="AC33" s="1264"/>
      <c r="AD33" s="1264"/>
      <c r="AE33" s="1264"/>
      <c r="AF33" s="1264"/>
      <c r="AG33" s="1264"/>
      <c r="AH33" s="1265"/>
      <c r="AI33" s="18" t="s">
        <v>572</v>
      </c>
      <c r="AL33" s="15" t="s">
        <v>30</v>
      </c>
      <c r="AM33" s="391" t="s">
        <v>573</v>
      </c>
      <c r="AV33" s="21"/>
    </row>
    <row r="34" spans="1:48" ht="15" customHeight="1">
      <c r="A34" s="73"/>
      <c r="G34" s="1263"/>
      <c r="H34" s="1264"/>
      <c r="I34" s="1264"/>
      <c r="J34" s="1264"/>
      <c r="K34" s="1264"/>
      <c r="L34" s="1264"/>
      <c r="M34" s="1264"/>
      <c r="N34" s="1264"/>
      <c r="O34" s="1264"/>
      <c r="P34" s="1264"/>
      <c r="Q34" s="1264"/>
      <c r="R34" s="1264"/>
      <c r="S34" s="1264"/>
      <c r="T34" s="1265"/>
      <c r="U34" s="1263"/>
      <c r="V34" s="1264"/>
      <c r="W34" s="1264"/>
      <c r="X34" s="1264"/>
      <c r="Y34" s="1264"/>
      <c r="Z34" s="1264"/>
      <c r="AA34" s="1264"/>
      <c r="AB34" s="1264"/>
      <c r="AC34" s="1264"/>
      <c r="AD34" s="1264"/>
      <c r="AE34" s="1264"/>
      <c r="AF34" s="1264"/>
      <c r="AG34" s="1264"/>
      <c r="AH34" s="1265"/>
      <c r="AM34" s="475" t="s">
        <v>574</v>
      </c>
      <c r="AV34" s="21"/>
    </row>
    <row r="35" spans="1:48" ht="15" customHeight="1">
      <c r="A35" s="73"/>
      <c r="G35" s="1263"/>
      <c r="H35" s="1264"/>
      <c r="I35" s="1264"/>
      <c r="J35" s="1264"/>
      <c r="K35" s="1264"/>
      <c r="L35" s="1264"/>
      <c r="M35" s="1264"/>
      <c r="N35" s="1264"/>
      <c r="O35" s="1264"/>
      <c r="P35" s="1264"/>
      <c r="Q35" s="1264"/>
      <c r="R35" s="1264"/>
      <c r="S35" s="1264"/>
      <c r="T35" s="1265"/>
      <c r="U35" s="1263"/>
      <c r="V35" s="1264"/>
      <c r="W35" s="1264"/>
      <c r="X35" s="1264"/>
      <c r="Y35" s="1264"/>
      <c r="Z35" s="1264"/>
      <c r="AA35" s="1264"/>
      <c r="AB35" s="1264"/>
      <c r="AC35" s="1264"/>
      <c r="AD35" s="1264"/>
      <c r="AE35" s="1264"/>
      <c r="AF35" s="1264"/>
      <c r="AG35" s="1264"/>
      <c r="AH35" s="1265"/>
      <c r="AI35" s="18"/>
      <c r="AJ35" s="18"/>
      <c r="AK35" s="18"/>
      <c r="AM35" s="476"/>
      <c r="AN35" s="476"/>
      <c r="AO35" s="18"/>
      <c r="AP35" s="18"/>
      <c r="AQ35" s="18"/>
      <c r="AR35" s="18"/>
      <c r="AS35" s="18"/>
      <c r="AT35" s="18"/>
      <c r="AV35" s="21"/>
    </row>
    <row r="36" spans="1:48" ht="15" customHeight="1">
      <c r="A36" s="73"/>
      <c r="G36" s="1263"/>
      <c r="H36" s="1264"/>
      <c r="I36" s="1264"/>
      <c r="J36" s="1264"/>
      <c r="K36" s="1264"/>
      <c r="L36" s="1264"/>
      <c r="M36" s="1264"/>
      <c r="N36" s="1264"/>
      <c r="O36" s="1264"/>
      <c r="P36" s="1264"/>
      <c r="Q36" s="1264"/>
      <c r="R36" s="1264"/>
      <c r="S36" s="1264"/>
      <c r="T36" s="1265"/>
      <c r="U36" s="1263"/>
      <c r="V36" s="1264"/>
      <c r="W36" s="1264"/>
      <c r="X36" s="1264"/>
      <c r="Y36" s="1264"/>
      <c r="Z36" s="1264"/>
      <c r="AA36" s="1264"/>
      <c r="AB36" s="1264"/>
      <c r="AC36" s="1264"/>
      <c r="AD36" s="1264"/>
      <c r="AE36" s="1264"/>
      <c r="AF36" s="1264"/>
      <c r="AG36" s="1264"/>
      <c r="AH36" s="1265"/>
      <c r="AI36" s="18"/>
      <c r="AJ36" s="18"/>
      <c r="AK36" s="18"/>
      <c r="AL36" s="18"/>
      <c r="AM36" s="18"/>
      <c r="AN36" s="18"/>
      <c r="AO36" s="18"/>
      <c r="AP36" s="18"/>
      <c r="AQ36" s="18"/>
      <c r="AR36" s="18"/>
      <c r="AS36" s="18"/>
      <c r="AT36" s="18"/>
      <c r="AV36" s="21"/>
    </row>
    <row r="37" spans="1:48" ht="15" customHeight="1">
      <c r="A37" s="73"/>
      <c r="G37" s="1263"/>
      <c r="H37" s="1264"/>
      <c r="I37" s="1264"/>
      <c r="J37" s="1264"/>
      <c r="K37" s="1264"/>
      <c r="L37" s="1264"/>
      <c r="M37" s="1264"/>
      <c r="N37" s="1264"/>
      <c r="O37" s="1264"/>
      <c r="P37" s="1264"/>
      <c r="Q37" s="1264"/>
      <c r="R37" s="1264"/>
      <c r="S37" s="1264"/>
      <c r="T37" s="1265"/>
      <c r="U37" s="1263"/>
      <c r="V37" s="1264"/>
      <c r="W37" s="1264"/>
      <c r="X37" s="1264"/>
      <c r="Y37" s="1264"/>
      <c r="Z37" s="1264"/>
      <c r="AA37" s="1264"/>
      <c r="AB37" s="1264"/>
      <c r="AC37" s="1264"/>
      <c r="AD37" s="1264"/>
      <c r="AE37" s="1264"/>
      <c r="AF37" s="1264"/>
      <c r="AG37" s="1264"/>
      <c r="AH37" s="1265"/>
      <c r="AI37" s="18"/>
      <c r="AJ37" s="18"/>
      <c r="AT37" s="18"/>
      <c r="AV37" s="21"/>
    </row>
    <row r="38" spans="1:48" ht="15" customHeight="1">
      <c r="A38" s="73"/>
      <c r="G38" s="1263"/>
      <c r="H38" s="1264"/>
      <c r="I38" s="1264"/>
      <c r="J38" s="1264"/>
      <c r="K38" s="1264"/>
      <c r="L38" s="1264"/>
      <c r="M38" s="1264"/>
      <c r="N38" s="1264"/>
      <c r="O38" s="1264"/>
      <c r="P38" s="1264"/>
      <c r="Q38" s="1264"/>
      <c r="R38" s="1264"/>
      <c r="S38" s="1264"/>
      <c r="T38" s="1265"/>
      <c r="U38" s="1263"/>
      <c r="V38" s="1264"/>
      <c r="W38" s="1264"/>
      <c r="X38" s="1264"/>
      <c r="Y38" s="1264"/>
      <c r="Z38" s="1264"/>
      <c r="AA38" s="1264"/>
      <c r="AB38" s="1264"/>
      <c r="AC38" s="1264"/>
      <c r="AD38" s="1264"/>
      <c r="AE38" s="1264"/>
      <c r="AF38" s="1264"/>
      <c r="AG38" s="1264"/>
      <c r="AH38" s="1265"/>
      <c r="AI38" s="96"/>
      <c r="AK38" s="18"/>
      <c r="AL38" s="18"/>
      <c r="AM38" s="18"/>
      <c r="AS38" s="18"/>
      <c r="AT38" s="18"/>
      <c r="AV38" s="21"/>
    </row>
    <row r="39" spans="1:48" ht="15" customHeight="1">
      <c r="A39" s="73"/>
      <c r="G39" s="1263"/>
      <c r="H39" s="1264"/>
      <c r="I39" s="1264"/>
      <c r="J39" s="1264"/>
      <c r="K39" s="1264"/>
      <c r="L39" s="1264"/>
      <c r="M39" s="1264"/>
      <c r="N39" s="1264"/>
      <c r="O39" s="1264"/>
      <c r="P39" s="1264"/>
      <c r="Q39" s="1264"/>
      <c r="R39" s="1264"/>
      <c r="S39" s="1264"/>
      <c r="T39" s="1265"/>
      <c r="U39" s="1263"/>
      <c r="V39" s="1264"/>
      <c r="W39" s="1264"/>
      <c r="X39" s="1264"/>
      <c r="Y39" s="1264"/>
      <c r="Z39" s="1264"/>
      <c r="AA39" s="1264"/>
      <c r="AB39" s="1264"/>
      <c r="AC39" s="1264"/>
      <c r="AD39" s="1264"/>
      <c r="AE39" s="1264"/>
      <c r="AF39" s="1264"/>
      <c r="AG39" s="1264"/>
      <c r="AH39" s="1265"/>
      <c r="AI39" s="1266" t="s">
        <v>575</v>
      </c>
      <c r="AJ39" s="1267"/>
      <c r="AK39" s="1267"/>
      <c r="AL39" s="1267"/>
      <c r="AM39" s="1267"/>
      <c r="AN39" s="1267"/>
      <c r="AO39" s="1267"/>
      <c r="AP39" s="1267"/>
      <c r="AQ39" s="1267"/>
      <c r="AR39" s="1267"/>
      <c r="AS39" s="1267"/>
      <c r="AT39" s="1267"/>
      <c r="AU39" s="1267"/>
      <c r="AV39" s="1268"/>
    </row>
    <row r="40" spans="1:48" ht="15" customHeight="1">
      <c r="A40" s="73"/>
      <c r="G40" s="1263"/>
      <c r="H40" s="1264"/>
      <c r="I40" s="1264"/>
      <c r="J40" s="1264"/>
      <c r="K40" s="1264"/>
      <c r="L40" s="1264"/>
      <c r="M40" s="1264"/>
      <c r="N40" s="1264"/>
      <c r="O40" s="1264"/>
      <c r="P40" s="1264"/>
      <c r="Q40" s="1264"/>
      <c r="R40" s="1264"/>
      <c r="S40" s="1264"/>
      <c r="T40" s="1265"/>
      <c r="U40" s="1263"/>
      <c r="V40" s="1264"/>
      <c r="W40" s="1264"/>
      <c r="X40" s="1264"/>
      <c r="Y40" s="1264"/>
      <c r="Z40" s="1264"/>
      <c r="AA40" s="1264"/>
      <c r="AB40" s="1264"/>
      <c r="AC40" s="1264"/>
      <c r="AD40" s="1264"/>
      <c r="AE40" s="1264"/>
      <c r="AF40" s="1264"/>
      <c r="AG40" s="1264"/>
      <c r="AH40" s="1265"/>
      <c r="AI40" s="30" t="s">
        <v>576</v>
      </c>
      <c r="AV40" s="21"/>
    </row>
    <row r="41" spans="1:48" ht="15" customHeight="1">
      <c r="A41" s="73"/>
      <c r="G41" s="1263"/>
      <c r="H41" s="1264"/>
      <c r="I41" s="1264"/>
      <c r="J41" s="1264"/>
      <c r="K41" s="1264"/>
      <c r="L41" s="1264"/>
      <c r="M41" s="1264"/>
      <c r="N41" s="1264"/>
      <c r="O41" s="1264"/>
      <c r="P41" s="1264"/>
      <c r="Q41" s="1264"/>
      <c r="R41" s="1264"/>
      <c r="S41" s="1264"/>
      <c r="T41" s="1265"/>
      <c r="U41" s="1263"/>
      <c r="V41" s="1264"/>
      <c r="W41" s="1264"/>
      <c r="X41" s="1264"/>
      <c r="Y41" s="1264"/>
      <c r="Z41" s="1264"/>
      <c r="AA41" s="1264"/>
      <c r="AB41" s="1264"/>
      <c r="AC41" s="1264"/>
      <c r="AD41" s="1264"/>
      <c r="AE41" s="1264"/>
      <c r="AF41" s="1264"/>
      <c r="AG41" s="1264"/>
      <c r="AH41" s="1265"/>
      <c r="AI41" s="18" t="s">
        <v>749</v>
      </c>
      <c r="AM41" s="398"/>
      <c r="AN41" s="294"/>
      <c r="AR41" s="15" t="s">
        <v>30</v>
      </c>
      <c r="AS41" s="81"/>
      <c r="AU41" s="18"/>
      <c r="AV41" s="72"/>
    </row>
    <row r="42" spans="1:48" ht="15" customHeight="1">
      <c r="A42" s="73"/>
      <c r="G42" s="1263"/>
      <c r="H42" s="1264"/>
      <c r="I42" s="1264"/>
      <c r="J42" s="1264"/>
      <c r="K42" s="1264"/>
      <c r="L42" s="1264"/>
      <c r="M42" s="1264"/>
      <c r="N42" s="1264"/>
      <c r="O42" s="1264"/>
      <c r="P42" s="1264"/>
      <c r="Q42" s="1264"/>
      <c r="R42" s="1264"/>
      <c r="S42" s="1264"/>
      <c r="T42" s="1265"/>
      <c r="U42" s="1263"/>
      <c r="V42" s="1264"/>
      <c r="W42" s="1264"/>
      <c r="X42" s="1264"/>
      <c r="Y42" s="1264"/>
      <c r="Z42" s="1264"/>
      <c r="AA42" s="1264"/>
      <c r="AB42" s="1264"/>
      <c r="AC42" s="1264"/>
      <c r="AD42" s="1264"/>
      <c r="AE42" s="1264"/>
      <c r="AF42" s="1264"/>
      <c r="AG42" s="1264"/>
      <c r="AH42" s="1265"/>
      <c r="AI42" s="30" t="s">
        <v>577</v>
      </c>
      <c r="AM42" s="81"/>
      <c r="AN42" s="149"/>
      <c r="AU42" s="18"/>
      <c r="AV42" s="72"/>
    </row>
    <row r="43" spans="1:48" ht="15" customHeight="1">
      <c r="A43" s="73"/>
      <c r="B43" s="18"/>
      <c r="C43" s="18"/>
      <c r="D43" s="18"/>
      <c r="E43" s="18"/>
      <c r="G43" s="1263"/>
      <c r="H43" s="1264"/>
      <c r="I43" s="1264"/>
      <c r="J43" s="1264"/>
      <c r="K43" s="1264"/>
      <c r="L43" s="1264"/>
      <c r="M43" s="1264"/>
      <c r="N43" s="1264"/>
      <c r="O43" s="1264"/>
      <c r="P43" s="1264"/>
      <c r="Q43" s="1264"/>
      <c r="R43" s="1264"/>
      <c r="S43" s="1264"/>
      <c r="T43" s="1265"/>
      <c r="U43" s="1263"/>
      <c r="V43" s="1264"/>
      <c r="W43" s="1264"/>
      <c r="X43" s="1264"/>
      <c r="Y43" s="1264"/>
      <c r="Z43" s="1264"/>
      <c r="AA43" s="1264"/>
      <c r="AB43" s="1264"/>
      <c r="AC43" s="1264"/>
      <c r="AD43" s="1264"/>
      <c r="AE43" s="1264"/>
      <c r="AF43" s="1264"/>
      <c r="AG43" s="1264"/>
      <c r="AH43" s="1265"/>
      <c r="AI43" s="73" t="s">
        <v>578</v>
      </c>
      <c r="AR43" s="15" t="s">
        <v>30</v>
      </c>
      <c r="AS43" s="81"/>
      <c r="AU43" s="18"/>
      <c r="AV43" s="72"/>
    </row>
    <row r="44" spans="1:48" ht="15" customHeight="1">
      <c r="A44" s="73"/>
      <c r="B44" s="18"/>
      <c r="C44" s="18"/>
      <c r="D44" s="18"/>
      <c r="E44" s="18"/>
      <c r="G44" s="1263"/>
      <c r="H44" s="1264"/>
      <c r="I44" s="1264"/>
      <c r="J44" s="1264"/>
      <c r="K44" s="1264"/>
      <c r="L44" s="1264"/>
      <c r="M44" s="1264"/>
      <c r="N44" s="1264"/>
      <c r="O44" s="1264"/>
      <c r="P44" s="1264"/>
      <c r="Q44" s="1264"/>
      <c r="R44" s="1264"/>
      <c r="S44" s="1264"/>
      <c r="T44" s="1265"/>
      <c r="U44" s="1263"/>
      <c r="V44" s="1264"/>
      <c r="W44" s="1264"/>
      <c r="X44" s="1264"/>
      <c r="Y44" s="1264"/>
      <c r="Z44" s="1264"/>
      <c r="AA44" s="1264"/>
      <c r="AB44" s="1264"/>
      <c r="AC44" s="1264"/>
      <c r="AD44" s="1264"/>
      <c r="AE44" s="1264"/>
      <c r="AF44" s="1264"/>
      <c r="AG44" s="1264"/>
      <c r="AH44" s="1265"/>
      <c r="AI44" s="73"/>
      <c r="AT44" s="18"/>
      <c r="AU44" s="18"/>
      <c r="AV44" s="72"/>
    </row>
    <row r="45" spans="1:48" ht="15" customHeight="1">
      <c r="A45" s="1253" t="s">
        <v>579</v>
      </c>
      <c r="B45" s="1254"/>
      <c r="C45" s="1254"/>
      <c r="D45" s="1254"/>
      <c r="E45" s="1254"/>
      <c r="F45" s="1254"/>
      <c r="G45" s="1254"/>
      <c r="H45" s="1254"/>
      <c r="I45" s="1254"/>
      <c r="J45" s="1254"/>
      <c r="K45" s="1254"/>
      <c r="L45" s="1254"/>
      <c r="M45" s="1254"/>
      <c r="N45" s="1254"/>
      <c r="O45" s="1254"/>
      <c r="P45" s="1254"/>
      <c r="Q45" s="1254"/>
      <c r="R45" s="1254"/>
      <c r="S45" s="1254"/>
      <c r="T45" s="1254"/>
      <c r="U45" s="1254"/>
      <c r="V45" s="1254"/>
      <c r="W45" s="1254"/>
      <c r="X45" s="1254"/>
      <c r="Y45" s="1254"/>
      <c r="Z45" s="1254"/>
      <c r="AA45" s="1254"/>
      <c r="AB45" s="1254"/>
      <c r="AC45" s="1254"/>
      <c r="AD45" s="1254"/>
      <c r="AE45" s="1254"/>
      <c r="AF45" s="1254"/>
      <c r="AG45" s="1254"/>
      <c r="AH45" s="1254"/>
      <c r="AI45" s="1254"/>
      <c r="AJ45" s="1254"/>
      <c r="AK45" s="1254"/>
      <c r="AL45" s="1254"/>
      <c r="AM45" s="1254"/>
      <c r="AN45" s="1254"/>
      <c r="AO45" s="1254"/>
      <c r="AP45" s="1254"/>
      <c r="AQ45" s="1254"/>
      <c r="AR45" s="1254"/>
      <c r="AS45" s="1254"/>
      <c r="AT45" s="1254"/>
      <c r="AU45" s="1254"/>
      <c r="AV45" s="1255"/>
    </row>
    <row r="46" spans="1:48" ht="15" customHeight="1">
      <c r="A46" s="190" t="s">
        <v>580</v>
      </c>
      <c r="B46" s="178"/>
      <c r="C46" s="181"/>
      <c r="D46" s="181"/>
      <c r="E46" s="181"/>
      <c r="F46" s="477"/>
      <c r="G46" s="478" t="s">
        <v>581</v>
      </c>
      <c r="H46" s="181"/>
      <c r="I46" s="181"/>
      <c r="J46" s="178"/>
      <c r="K46" s="178"/>
      <c r="L46" s="178"/>
      <c r="M46" s="178"/>
      <c r="N46" s="479"/>
      <c r="O46" s="480"/>
      <c r="P46" s="480"/>
      <c r="Q46" s="178"/>
      <c r="R46" s="191"/>
      <c r="S46" s="191"/>
      <c r="T46" s="470"/>
      <c r="U46" s="68" t="s">
        <v>582</v>
      </c>
      <c r="AC46" s="74"/>
      <c r="AD46" s="74"/>
      <c r="AE46" s="74"/>
      <c r="AF46" s="18"/>
      <c r="AG46" s="18"/>
      <c r="AH46" s="18"/>
      <c r="AI46" s="481" t="s">
        <v>583</v>
      </c>
      <c r="AJ46" s="482"/>
      <c r="AK46" s="483"/>
      <c r="AL46" s="483"/>
      <c r="AM46" s="483"/>
      <c r="AN46" s="484"/>
      <c r="AO46" s="484"/>
      <c r="AP46" s="483"/>
      <c r="AQ46" s="485"/>
      <c r="AR46" s="485"/>
      <c r="AS46" s="483"/>
      <c r="AT46" s="483"/>
      <c r="AU46" s="483"/>
      <c r="AV46" s="486"/>
    </row>
    <row r="47" spans="1:48" ht="15" customHeight="1">
      <c r="A47" s="73"/>
      <c r="F47" s="72"/>
      <c r="G47" s="418" t="s">
        <v>584</v>
      </c>
      <c r="H47" s="15"/>
      <c r="I47" s="15"/>
      <c r="K47" s="15" t="s">
        <v>30</v>
      </c>
      <c r="L47" s="32" t="s">
        <v>585</v>
      </c>
      <c r="M47" s="93"/>
      <c r="N47" s="93"/>
      <c r="O47" s="83"/>
      <c r="P47" s="75"/>
      <c r="Q47" s="93"/>
      <c r="R47" s="290"/>
      <c r="S47" s="78"/>
      <c r="T47" s="21"/>
      <c r="U47" s="418" t="s">
        <v>584</v>
      </c>
      <c r="V47" s="15"/>
      <c r="W47" s="15"/>
      <c r="Y47" s="15" t="s">
        <v>30</v>
      </c>
      <c r="Z47" s="81"/>
      <c r="AA47" s="15"/>
      <c r="AB47" s="127"/>
      <c r="AC47" s="487"/>
      <c r="AD47" s="487"/>
      <c r="AE47" s="32"/>
      <c r="AF47" s="206"/>
      <c r="AG47" s="206"/>
      <c r="AH47" s="80"/>
      <c r="AI47" s="1256" t="s">
        <v>586</v>
      </c>
      <c r="AJ47" s="1257"/>
      <c r="AK47" s="1227" t="s">
        <v>587</v>
      </c>
      <c r="AL47" s="1228"/>
      <c r="AM47" s="1228"/>
      <c r="AN47" s="1228"/>
      <c r="AO47" s="1228"/>
      <c r="AP47" s="1228"/>
      <c r="AQ47" s="1260" t="s">
        <v>588</v>
      </c>
      <c r="AR47" s="1261"/>
      <c r="AS47" s="1261"/>
      <c r="AT47" s="1261"/>
      <c r="AU47" s="1261"/>
      <c r="AV47" s="1262"/>
    </row>
    <row r="48" spans="1:48" ht="15" customHeight="1">
      <c r="A48" s="73"/>
      <c r="B48" s="18"/>
      <c r="F48" s="72"/>
      <c r="G48" s="418" t="s">
        <v>589</v>
      </c>
      <c r="H48" s="305"/>
      <c r="I48" s="237"/>
      <c r="J48" s="237"/>
      <c r="K48" s="15" t="s">
        <v>30</v>
      </c>
      <c r="L48" s="32" t="s">
        <v>590</v>
      </c>
      <c r="O48" s="82"/>
      <c r="P48" s="82"/>
      <c r="R48" s="82"/>
      <c r="S48" s="82"/>
      <c r="T48" s="21"/>
      <c r="U48" s="418" t="s">
        <v>589</v>
      </c>
      <c r="V48" s="305"/>
      <c r="W48" s="237"/>
      <c r="X48" s="237"/>
      <c r="Y48" s="15" t="s">
        <v>30</v>
      </c>
      <c r="Z48" s="81"/>
      <c r="AA48" s="15"/>
      <c r="AB48" s="32"/>
      <c r="AC48" s="79"/>
      <c r="AD48" s="79"/>
      <c r="AE48" s="32"/>
      <c r="AF48" s="79"/>
      <c r="AG48" s="79"/>
      <c r="AH48" s="80"/>
      <c r="AI48" s="1258"/>
      <c r="AJ48" s="1259"/>
      <c r="AK48" s="954" t="s">
        <v>591</v>
      </c>
      <c r="AL48" s="955"/>
      <c r="AM48" s="955"/>
      <c r="AN48" s="1227" t="s">
        <v>592</v>
      </c>
      <c r="AO48" s="1228"/>
      <c r="AP48" s="1229"/>
      <c r="AQ48" s="1227" t="s">
        <v>591</v>
      </c>
      <c r="AR48" s="1228"/>
      <c r="AS48" s="1228"/>
      <c r="AT48" s="954" t="s">
        <v>592</v>
      </c>
      <c r="AU48" s="955"/>
      <c r="AV48" s="956"/>
    </row>
    <row r="49" spans="1:48" ht="15" customHeight="1">
      <c r="A49" s="73"/>
      <c r="B49" s="18"/>
      <c r="F49" s="72"/>
      <c r="G49" s="418" t="s">
        <v>593</v>
      </c>
      <c r="H49" s="93"/>
      <c r="I49" s="15"/>
      <c r="J49" s="15"/>
      <c r="K49" s="15" t="s">
        <v>30</v>
      </c>
      <c r="L49" s="79">
        <v>23.21</v>
      </c>
      <c r="M49" s="32" t="s">
        <v>594</v>
      </c>
      <c r="N49" s="32"/>
      <c r="O49" s="32"/>
      <c r="P49" s="127"/>
      <c r="R49" s="15"/>
      <c r="S49" s="15"/>
      <c r="T49" s="21"/>
      <c r="U49" s="418" t="s">
        <v>595</v>
      </c>
      <c r="V49" s="93"/>
      <c r="W49" s="15"/>
      <c r="X49" s="15"/>
      <c r="Y49" s="15" t="s">
        <v>30</v>
      </c>
      <c r="Z49" s="488"/>
      <c r="AA49" s="32" t="s">
        <v>596</v>
      </c>
      <c r="AB49" s="15"/>
      <c r="AC49" s="127"/>
      <c r="AD49" s="127"/>
      <c r="AE49" s="32"/>
      <c r="AF49" s="80"/>
      <c r="AG49" s="80"/>
      <c r="AH49" s="80"/>
      <c r="AI49" s="915">
        <v>1</v>
      </c>
      <c r="AJ49" s="917"/>
      <c r="AK49" s="1245" t="s">
        <v>597</v>
      </c>
      <c r="AL49" s="1246"/>
      <c r="AM49" s="1246"/>
      <c r="AN49" s="1247" t="s">
        <v>598</v>
      </c>
      <c r="AO49" s="1248"/>
      <c r="AP49" s="1249"/>
      <c r="AQ49" s="1237"/>
      <c r="AR49" s="1238"/>
      <c r="AS49" s="1239"/>
      <c r="AT49" s="1250"/>
      <c r="AU49" s="1251"/>
      <c r="AV49" s="1252"/>
    </row>
    <row r="50" spans="1:48" ht="15" customHeight="1">
      <c r="A50" s="73"/>
      <c r="B50" s="18"/>
      <c r="F50" s="72"/>
      <c r="G50" s="418" t="s">
        <v>599</v>
      </c>
      <c r="H50" s="93"/>
      <c r="I50" s="15"/>
      <c r="J50" s="15"/>
      <c r="K50" s="15" t="s">
        <v>30</v>
      </c>
      <c r="L50" s="204">
        <v>50</v>
      </c>
      <c r="M50" s="32" t="s">
        <v>90</v>
      </c>
      <c r="N50" s="32"/>
      <c r="P50" s="127"/>
      <c r="R50" s="15"/>
      <c r="S50" s="15"/>
      <c r="T50" s="21"/>
      <c r="U50" s="418" t="s">
        <v>600</v>
      </c>
      <c r="V50" s="93"/>
      <c r="W50" s="15"/>
      <c r="X50" s="15"/>
      <c r="Y50" s="15" t="s">
        <v>30</v>
      </c>
      <c r="Z50" s="32" t="s">
        <v>601</v>
      </c>
      <c r="AA50" s="15"/>
      <c r="AB50" s="127"/>
      <c r="AC50" s="127"/>
      <c r="AD50" s="127"/>
      <c r="AE50" s="32"/>
      <c r="AF50" s="80"/>
      <c r="AG50" s="80"/>
      <c r="AH50" s="80"/>
      <c r="AI50" s="906">
        <v>2</v>
      </c>
      <c r="AJ50" s="908"/>
      <c r="AK50" s="1240" t="s">
        <v>597</v>
      </c>
      <c r="AL50" s="1241"/>
      <c r="AM50" s="1241"/>
      <c r="AN50" s="1242" t="s">
        <v>602</v>
      </c>
      <c r="AO50" s="1243"/>
      <c r="AP50" s="1244"/>
      <c r="AQ50" s="1195"/>
      <c r="AR50" s="1196"/>
      <c r="AS50" s="1197"/>
      <c r="AT50" s="1220"/>
      <c r="AU50" s="1221"/>
      <c r="AV50" s="1222"/>
    </row>
    <row r="51" spans="1:48" ht="15" customHeight="1">
      <c r="A51" s="73"/>
      <c r="B51" s="18"/>
      <c r="F51" s="72"/>
      <c r="G51" s="418" t="s">
        <v>603</v>
      </c>
      <c r="H51" s="93"/>
      <c r="I51" s="15"/>
      <c r="J51" s="15"/>
      <c r="K51" s="15" t="s">
        <v>30</v>
      </c>
      <c r="L51" s="32" t="s">
        <v>604</v>
      </c>
      <c r="O51" s="32"/>
      <c r="P51" s="16"/>
      <c r="R51" s="15"/>
      <c r="T51" s="21"/>
      <c r="U51" s="418"/>
      <c r="V51" s="93"/>
      <c r="W51" s="15"/>
      <c r="X51" s="15"/>
      <c r="Y51" s="15"/>
      <c r="Z51" s="489"/>
      <c r="AA51" s="489"/>
      <c r="AB51" s="127"/>
      <c r="AC51" s="127"/>
      <c r="AD51" s="127"/>
      <c r="AE51" s="32"/>
      <c r="AF51" s="80"/>
      <c r="AG51" s="32"/>
      <c r="AH51" s="80"/>
      <c r="AI51" s="906">
        <v>3</v>
      </c>
      <c r="AJ51" s="908"/>
      <c r="AK51" s="1240" t="s">
        <v>605</v>
      </c>
      <c r="AL51" s="1241"/>
      <c r="AM51" s="1241"/>
      <c r="AN51" s="1242" t="s">
        <v>598</v>
      </c>
      <c r="AO51" s="1243"/>
      <c r="AP51" s="1244"/>
      <c r="AQ51" s="1195"/>
      <c r="AR51" s="1196"/>
      <c r="AS51" s="1197"/>
      <c r="AT51" s="1220"/>
      <c r="AU51" s="1221"/>
      <c r="AV51" s="1222"/>
    </row>
    <row r="52" spans="1:48" ht="15" customHeight="1">
      <c r="A52" s="490"/>
      <c r="B52" s="338"/>
      <c r="C52" s="338"/>
      <c r="D52" s="338"/>
      <c r="E52" s="338"/>
      <c r="F52" s="339"/>
      <c r="G52" s="418"/>
      <c r="H52" s="93"/>
      <c r="I52" s="15"/>
      <c r="J52" s="15"/>
      <c r="K52" s="15"/>
      <c r="L52" s="79"/>
      <c r="M52" s="32"/>
      <c r="N52" s="32"/>
      <c r="O52" s="32"/>
      <c r="P52" s="491"/>
      <c r="Q52" s="340"/>
      <c r="R52" s="492"/>
      <c r="S52" s="340"/>
      <c r="T52" s="211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I52" s="906">
        <v>4</v>
      </c>
      <c r="AJ52" s="908"/>
      <c r="AK52" s="1240" t="s">
        <v>605</v>
      </c>
      <c r="AL52" s="1241"/>
      <c r="AM52" s="1241"/>
      <c r="AN52" s="1242" t="s">
        <v>602</v>
      </c>
      <c r="AO52" s="1243"/>
      <c r="AP52" s="1244"/>
      <c r="AQ52" s="1195"/>
      <c r="AR52" s="1196"/>
      <c r="AS52" s="1197"/>
      <c r="AT52" s="1220"/>
      <c r="AU52" s="1221"/>
      <c r="AV52" s="1222"/>
    </row>
    <row r="53" spans="1:48" ht="15" customHeight="1">
      <c r="A53" s="118" t="s">
        <v>606</v>
      </c>
      <c r="B53" s="115"/>
      <c r="C53" s="117"/>
      <c r="D53" s="117"/>
      <c r="E53" s="117"/>
      <c r="F53" s="114"/>
      <c r="G53" s="493" t="s">
        <v>607</v>
      </c>
      <c r="H53" s="117"/>
      <c r="I53" s="117"/>
      <c r="J53" s="115"/>
      <c r="K53" s="494"/>
      <c r="L53" s="494"/>
      <c r="M53" s="494"/>
      <c r="N53" s="494"/>
      <c r="O53" s="494"/>
      <c r="P53" s="115"/>
      <c r="Q53" s="115"/>
      <c r="R53" s="119"/>
      <c r="S53" s="115"/>
      <c r="T53" s="122"/>
      <c r="U53" s="493" t="s">
        <v>608</v>
      </c>
      <c r="V53" s="115"/>
      <c r="W53" s="115"/>
      <c r="X53" s="115"/>
      <c r="Y53" s="115"/>
      <c r="Z53" s="115"/>
      <c r="AA53" s="115"/>
      <c r="AB53" s="495"/>
      <c r="AC53" s="495"/>
      <c r="AD53" s="496"/>
      <c r="AE53" s="115"/>
      <c r="AF53" s="497"/>
      <c r="AG53" s="115"/>
      <c r="AH53" s="114"/>
      <c r="AI53" s="906">
        <v>5</v>
      </c>
      <c r="AJ53" s="908"/>
      <c r="AK53" s="1215" t="s">
        <v>609</v>
      </c>
      <c r="AL53" s="1216"/>
      <c r="AM53" s="1216"/>
      <c r="AN53" s="1217" t="s">
        <v>598</v>
      </c>
      <c r="AO53" s="1218"/>
      <c r="AP53" s="1219"/>
      <c r="AQ53" s="1195"/>
      <c r="AR53" s="1196"/>
      <c r="AS53" s="1197"/>
      <c r="AT53" s="1220"/>
      <c r="AU53" s="1221"/>
      <c r="AV53" s="1222"/>
    </row>
    <row r="54" spans="1:48" ht="15" customHeight="1">
      <c r="A54" s="76"/>
      <c r="B54" s="18"/>
      <c r="F54" s="72"/>
      <c r="G54" s="418" t="s">
        <v>584</v>
      </c>
      <c r="H54" s="15"/>
      <c r="I54" s="15"/>
      <c r="K54" s="15" t="s">
        <v>30</v>
      </c>
      <c r="L54" s="32" t="s">
        <v>585</v>
      </c>
      <c r="M54" s="93"/>
      <c r="N54" s="146"/>
      <c r="O54" s="146"/>
      <c r="P54" s="15"/>
      <c r="Q54" s="15"/>
      <c r="R54" s="15"/>
      <c r="S54" s="15"/>
      <c r="T54" s="21"/>
      <c r="U54" s="418" t="s">
        <v>584</v>
      </c>
      <c r="V54" s="15"/>
      <c r="W54" s="15"/>
      <c r="Y54" s="15" t="s">
        <v>30</v>
      </c>
      <c r="Z54" s="81"/>
      <c r="AA54" s="350"/>
      <c r="AB54" s="15"/>
      <c r="AC54" s="350"/>
      <c r="AD54" s="131"/>
      <c r="AF54" s="106"/>
      <c r="AG54" s="18"/>
      <c r="AH54" s="18"/>
      <c r="AI54" s="1223">
        <v>6</v>
      </c>
      <c r="AJ54" s="1223"/>
      <c r="AK54" s="1215" t="s">
        <v>609</v>
      </c>
      <c r="AL54" s="1216"/>
      <c r="AM54" s="1216"/>
      <c r="AN54" s="1217" t="s">
        <v>602</v>
      </c>
      <c r="AO54" s="1218"/>
      <c r="AP54" s="1219"/>
      <c r="AQ54" s="1206"/>
      <c r="AR54" s="1207"/>
      <c r="AS54" s="1208"/>
      <c r="AT54" s="1224"/>
      <c r="AU54" s="1225"/>
      <c r="AV54" s="1226"/>
    </row>
    <row r="55" spans="1:48" ht="15" customHeight="1">
      <c r="A55" s="76"/>
      <c r="B55" s="18"/>
      <c r="F55" s="72"/>
      <c r="G55" s="418" t="s">
        <v>589</v>
      </c>
      <c r="H55" s="305"/>
      <c r="I55" s="237"/>
      <c r="J55" s="237"/>
      <c r="K55" s="15" t="s">
        <v>30</v>
      </c>
      <c r="L55" s="32" t="s">
        <v>610</v>
      </c>
      <c r="P55" s="15"/>
      <c r="Q55" s="15"/>
      <c r="R55" s="15"/>
      <c r="S55" s="15"/>
      <c r="T55" s="21"/>
      <c r="U55" s="418" t="s">
        <v>589</v>
      </c>
      <c r="V55" s="305"/>
      <c r="W55" s="237"/>
      <c r="X55" s="237"/>
      <c r="Y55" s="15" t="s">
        <v>30</v>
      </c>
      <c r="Z55" s="81"/>
      <c r="AA55" s="131"/>
      <c r="AB55" s="15"/>
      <c r="AC55" s="131"/>
      <c r="AD55" s="131"/>
      <c r="AF55" s="106"/>
      <c r="AG55" s="18"/>
      <c r="AH55" s="18"/>
      <c r="AI55" s="498" t="s">
        <v>611</v>
      </c>
      <c r="AJ55" s="499"/>
      <c r="AK55" s="500"/>
      <c r="AL55" s="500"/>
      <c r="AM55" s="500"/>
      <c r="AN55" s="501"/>
      <c r="AO55" s="501"/>
      <c r="AP55" s="501"/>
      <c r="AQ55" s="500"/>
      <c r="AR55" s="500"/>
      <c r="AS55" s="500"/>
      <c r="AT55" s="501"/>
      <c r="AU55" s="501"/>
      <c r="AV55" s="502"/>
    </row>
    <row r="56" spans="1:48" ht="15" customHeight="1">
      <c r="A56" s="73"/>
      <c r="B56" s="18"/>
      <c r="F56" s="72"/>
      <c r="G56" s="418" t="s">
        <v>593</v>
      </c>
      <c r="H56" s="93"/>
      <c r="I56" s="15"/>
      <c r="J56" s="15"/>
      <c r="K56" s="15" t="s">
        <v>30</v>
      </c>
      <c r="L56" s="80">
        <v>21.82</v>
      </c>
      <c r="M56" s="32" t="s">
        <v>594</v>
      </c>
      <c r="N56" s="32"/>
      <c r="O56" s="32"/>
      <c r="P56" s="15"/>
      <c r="Q56" s="15"/>
      <c r="R56" s="15"/>
      <c r="S56" s="15"/>
      <c r="T56" s="21"/>
      <c r="U56" s="418" t="s">
        <v>595</v>
      </c>
      <c r="V56" s="93"/>
      <c r="W56" s="15"/>
      <c r="X56" s="15"/>
      <c r="Y56" s="15" t="s">
        <v>30</v>
      </c>
      <c r="Z56" s="488"/>
      <c r="AA56" s="32" t="s">
        <v>596</v>
      </c>
      <c r="AB56" s="15"/>
      <c r="AC56" s="131"/>
      <c r="AD56" s="131"/>
      <c r="AF56" s="106"/>
      <c r="AG56" s="18"/>
      <c r="AH56" s="18"/>
      <c r="AI56" s="1042" t="s">
        <v>612</v>
      </c>
      <c r="AJ56" s="1042"/>
      <c r="AK56" s="1227" t="s">
        <v>587</v>
      </c>
      <c r="AL56" s="1228"/>
      <c r="AM56" s="1228"/>
      <c r="AN56" s="1228"/>
      <c r="AO56" s="1229"/>
      <c r="AP56" s="1230" t="s">
        <v>612</v>
      </c>
      <c r="AQ56" s="1230"/>
      <c r="AR56" s="1231" t="s">
        <v>588</v>
      </c>
      <c r="AS56" s="1232"/>
      <c r="AT56" s="1232"/>
      <c r="AU56" s="1232"/>
      <c r="AV56" s="1232"/>
    </row>
    <row r="57" spans="1:48" ht="15" customHeight="1">
      <c r="A57" s="73"/>
      <c r="B57" s="18"/>
      <c r="F57" s="72"/>
      <c r="G57" s="418" t="s">
        <v>599</v>
      </c>
      <c r="H57" s="93"/>
      <c r="I57" s="15"/>
      <c r="J57" s="15"/>
      <c r="K57" s="15" t="s">
        <v>30</v>
      </c>
      <c r="L57" s="205">
        <v>50</v>
      </c>
      <c r="M57" s="32" t="s">
        <v>90</v>
      </c>
      <c r="N57" s="32"/>
      <c r="O57" s="32"/>
      <c r="P57" s="15"/>
      <c r="Q57" s="15"/>
      <c r="R57" s="15"/>
      <c r="S57" s="15"/>
      <c r="T57" s="21"/>
      <c r="U57" s="418" t="s">
        <v>600</v>
      </c>
      <c r="V57" s="93"/>
      <c r="W57" s="15"/>
      <c r="Y57" s="15" t="s">
        <v>30</v>
      </c>
      <c r="Z57" s="32" t="s">
        <v>613</v>
      </c>
      <c r="AA57" s="131"/>
      <c r="AB57" s="15"/>
      <c r="AC57" s="131"/>
      <c r="AD57" s="131"/>
      <c r="AF57" s="106"/>
      <c r="AG57" s="18"/>
      <c r="AH57" s="18"/>
      <c r="AI57" s="915" t="s">
        <v>614</v>
      </c>
      <c r="AJ57" s="916"/>
      <c r="AK57" s="1233" t="s">
        <v>615</v>
      </c>
      <c r="AL57" s="1234"/>
      <c r="AM57" s="1234"/>
      <c r="AN57" s="1234"/>
      <c r="AO57" s="1235"/>
      <c r="AP57" s="1236" t="s">
        <v>614</v>
      </c>
      <c r="AQ57" s="1236"/>
      <c r="AR57" s="1237"/>
      <c r="AS57" s="1238"/>
      <c r="AT57" s="1238"/>
      <c r="AU57" s="1238"/>
      <c r="AV57" s="1239"/>
    </row>
    <row r="58" spans="1:48" ht="15" customHeight="1">
      <c r="A58" s="337"/>
      <c r="B58" s="340"/>
      <c r="C58" s="338"/>
      <c r="D58" s="338"/>
      <c r="E58" s="338"/>
      <c r="F58" s="339"/>
      <c r="G58" s="504" t="s">
        <v>603</v>
      </c>
      <c r="H58" s="344"/>
      <c r="I58" s="338"/>
      <c r="J58" s="338"/>
      <c r="K58" s="338" t="s">
        <v>30</v>
      </c>
      <c r="L58" s="491" t="s">
        <v>616</v>
      </c>
      <c r="M58" s="340"/>
      <c r="N58" s="340"/>
      <c r="O58" s="340"/>
      <c r="P58" s="338"/>
      <c r="Q58" s="338"/>
      <c r="R58" s="338"/>
      <c r="S58" s="338"/>
      <c r="T58" s="211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I58" s="906" t="s">
        <v>617</v>
      </c>
      <c r="AJ58" s="907"/>
      <c r="AK58" s="1192" t="s">
        <v>618</v>
      </c>
      <c r="AL58" s="1193"/>
      <c r="AM58" s="1193"/>
      <c r="AN58" s="1193"/>
      <c r="AO58" s="1194"/>
      <c r="AP58" s="885" t="s">
        <v>617</v>
      </c>
      <c r="AQ58" s="885"/>
      <c r="AR58" s="1195"/>
      <c r="AS58" s="1196"/>
      <c r="AT58" s="1196"/>
      <c r="AU58" s="1196"/>
      <c r="AV58" s="1197"/>
    </row>
    <row r="59" spans="1:48" ht="15" customHeight="1">
      <c r="A59" s="118" t="s">
        <v>619</v>
      </c>
      <c r="B59" s="115"/>
      <c r="C59" s="117"/>
      <c r="D59" s="117"/>
      <c r="E59" s="117"/>
      <c r="F59" s="114"/>
      <c r="G59" s="493" t="s">
        <v>620</v>
      </c>
      <c r="H59" s="117"/>
      <c r="I59" s="117"/>
      <c r="J59" s="117"/>
      <c r="K59" s="117"/>
      <c r="L59" s="117"/>
      <c r="M59" s="117"/>
      <c r="N59" s="117"/>
      <c r="O59" s="117"/>
      <c r="P59" s="117"/>
      <c r="Q59" s="117"/>
      <c r="R59" s="117"/>
      <c r="S59" s="117"/>
      <c r="T59" s="122"/>
      <c r="U59" s="493" t="s">
        <v>620</v>
      </c>
      <c r="V59" s="505"/>
      <c r="W59" s="505"/>
      <c r="X59" s="505"/>
      <c r="Y59" s="115"/>
      <c r="Z59" s="115"/>
      <c r="AA59" s="119"/>
      <c r="AB59" s="506"/>
      <c r="AC59" s="506"/>
      <c r="AD59" s="506"/>
      <c r="AE59" s="115"/>
      <c r="AF59" s="497"/>
      <c r="AG59" s="115"/>
      <c r="AH59" s="114"/>
      <c r="AI59" s="906" t="s">
        <v>621</v>
      </c>
      <c r="AJ59" s="907"/>
      <c r="AK59" s="1192" t="s">
        <v>622</v>
      </c>
      <c r="AL59" s="1193"/>
      <c r="AM59" s="1193"/>
      <c r="AN59" s="1193"/>
      <c r="AO59" s="1194"/>
      <c r="AP59" s="885" t="s">
        <v>621</v>
      </c>
      <c r="AQ59" s="885"/>
      <c r="AR59" s="1195"/>
      <c r="AS59" s="1196"/>
      <c r="AT59" s="1196"/>
      <c r="AU59" s="1196"/>
      <c r="AV59" s="1197"/>
    </row>
    <row r="60" spans="1:48" ht="15" customHeight="1">
      <c r="A60" s="76"/>
      <c r="B60" s="18"/>
      <c r="F60" s="72"/>
      <c r="G60" s="418" t="s">
        <v>584</v>
      </c>
      <c r="H60" s="93"/>
      <c r="I60" s="134"/>
      <c r="J60" s="134"/>
      <c r="K60" s="15" t="s">
        <v>30</v>
      </c>
      <c r="L60" s="32" t="s">
        <v>585</v>
      </c>
      <c r="M60" s="93"/>
      <c r="N60" s="93"/>
      <c r="O60" s="93"/>
      <c r="P60" s="93"/>
      <c r="Q60" s="93"/>
      <c r="T60" s="21"/>
      <c r="U60" s="418" t="s">
        <v>584</v>
      </c>
      <c r="V60" s="15"/>
      <c r="W60" s="15"/>
      <c r="Y60" s="15" t="s">
        <v>30</v>
      </c>
      <c r="Z60" s="81"/>
      <c r="AC60" s="16"/>
      <c r="AD60" s="74"/>
      <c r="AE60" s="74"/>
      <c r="AF60" s="18"/>
      <c r="AG60" s="78"/>
      <c r="AI60" s="906" t="s">
        <v>623</v>
      </c>
      <c r="AJ60" s="907"/>
      <c r="AK60" s="1192" t="s">
        <v>624</v>
      </c>
      <c r="AL60" s="1193"/>
      <c r="AM60" s="1193"/>
      <c r="AN60" s="1193"/>
      <c r="AO60" s="1194"/>
      <c r="AP60" s="885" t="s">
        <v>623</v>
      </c>
      <c r="AQ60" s="885"/>
      <c r="AR60" s="1195"/>
      <c r="AS60" s="1196"/>
      <c r="AT60" s="1196"/>
      <c r="AU60" s="1196"/>
      <c r="AV60" s="1197"/>
    </row>
    <row r="61" spans="1:48" ht="15" customHeight="1">
      <c r="A61" s="73"/>
      <c r="B61" s="18"/>
      <c r="F61" s="72"/>
      <c r="G61" s="418" t="s">
        <v>589</v>
      </c>
      <c r="H61" s="93"/>
      <c r="I61" s="77"/>
      <c r="J61" s="77"/>
      <c r="K61" s="15" t="s">
        <v>30</v>
      </c>
      <c r="L61" s="79" t="s">
        <v>625</v>
      </c>
      <c r="M61" s="149"/>
      <c r="N61" s="149"/>
      <c r="O61" s="149"/>
      <c r="P61" s="149"/>
      <c r="Q61" s="149"/>
      <c r="R61" s="149"/>
      <c r="S61" s="32"/>
      <c r="T61" s="122"/>
      <c r="U61" s="418" t="s">
        <v>589</v>
      </c>
      <c r="V61" s="305"/>
      <c r="W61" s="237"/>
      <c r="X61" s="237"/>
      <c r="Y61" s="15" t="s">
        <v>30</v>
      </c>
      <c r="Z61" s="81"/>
      <c r="AD61" s="82"/>
      <c r="AE61" s="82"/>
      <c r="AF61" s="18"/>
      <c r="AG61" s="82"/>
      <c r="AI61" s="906" t="s">
        <v>626</v>
      </c>
      <c r="AJ61" s="907"/>
      <c r="AK61" s="1192" t="s">
        <v>627</v>
      </c>
      <c r="AL61" s="1193"/>
      <c r="AM61" s="1193"/>
      <c r="AN61" s="1193"/>
      <c r="AO61" s="1194"/>
      <c r="AP61" s="885" t="s">
        <v>626</v>
      </c>
      <c r="AQ61" s="885"/>
      <c r="AR61" s="1195"/>
      <c r="AS61" s="1196"/>
      <c r="AT61" s="1196"/>
      <c r="AU61" s="1196"/>
      <c r="AV61" s="1197"/>
    </row>
    <row r="62" spans="1:48" ht="15" customHeight="1">
      <c r="A62" s="76"/>
      <c r="B62" s="18"/>
      <c r="F62" s="72"/>
      <c r="G62" s="418" t="s">
        <v>593</v>
      </c>
      <c r="H62" s="93"/>
      <c r="I62" s="77"/>
      <c r="J62" s="77"/>
      <c r="K62" s="15" t="s">
        <v>30</v>
      </c>
      <c r="L62" s="80">
        <v>27.55</v>
      </c>
      <c r="M62" s="32" t="s">
        <v>628</v>
      </c>
      <c r="N62" s="32"/>
      <c r="O62" s="32"/>
      <c r="P62" s="32"/>
      <c r="Q62" s="93"/>
      <c r="T62" s="21"/>
      <c r="U62" s="418" t="s">
        <v>595</v>
      </c>
      <c r="V62" s="93"/>
      <c r="W62" s="15"/>
      <c r="X62" s="15"/>
      <c r="Y62" s="15" t="s">
        <v>30</v>
      </c>
      <c r="Z62" s="488"/>
      <c r="AA62" s="32" t="s">
        <v>629</v>
      </c>
      <c r="AC62" s="16"/>
      <c r="AD62" s="16"/>
      <c r="AE62" s="16"/>
      <c r="AF62" s="18"/>
      <c r="AI62" s="906" t="s">
        <v>630</v>
      </c>
      <c r="AJ62" s="907"/>
      <c r="AK62" s="1192" t="s">
        <v>615</v>
      </c>
      <c r="AL62" s="1193"/>
      <c r="AM62" s="1193"/>
      <c r="AN62" s="1193"/>
      <c r="AO62" s="1194"/>
      <c r="AP62" s="885" t="s">
        <v>630</v>
      </c>
      <c r="AQ62" s="885"/>
      <c r="AR62" s="1195"/>
      <c r="AS62" s="1196"/>
      <c r="AT62" s="1196"/>
      <c r="AU62" s="1196"/>
      <c r="AV62" s="1197"/>
    </row>
    <row r="63" spans="1:48" ht="15" customHeight="1">
      <c r="A63" s="73"/>
      <c r="B63" s="18"/>
      <c r="F63" s="72"/>
      <c r="G63" s="418" t="s">
        <v>599</v>
      </c>
      <c r="H63" s="96"/>
      <c r="K63" s="15" t="s">
        <v>30</v>
      </c>
      <c r="L63" s="80">
        <v>50</v>
      </c>
      <c r="M63" s="32" t="s">
        <v>90</v>
      </c>
      <c r="N63" s="93"/>
      <c r="O63" s="93"/>
      <c r="P63" s="93"/>
      <c r="Q63" s="93"/>
      <c r="T63" s="21"/>
      <c r="U63" s="418" t="s">
        <v>631</v>
      </c>
      <c r="V63" s="149"/>
      <c r="W63" s="149"/>
      <c r="X63" s="149"/>
      <c r="Y63" s="15" t="s">
        <v>30</v>
      </c>
      <c r="Z63" s="507"/>
      <c r="AA63" s="440" t="s">
        <v>570</v>
      </c>
      <c r="AB63" s="440"/>
      <c r="AC63" s="440"/>
      <c r="AD63" s="149"/>
      <c r="AE63" s="149"/>
      <c r="AF63" s="18"/>
      <c r="AG63" s="106"/>
      <c r="AH63" s="18"/>
      <c r="AI63" s="906" t="s">
        <v>632</v>
      </c>
      <c r="AJ63" s="907"/>
      <c r="AK63" s="1192" t="s">
        <v>633</v>
      </c>
      <c r="AL63" s="1193"/>
      <c r="AM63" s="1193"/>
      <c r="AN63" s="1193"/>
      <c r="AO63" s="1194"/>
      <c r="AP63" s="885" t="s">
        <v>632</v>
      </c>
      <c r="AQ63" s="885"/>
      <c r="AR63" s="1195"/>
      <c r="AS63" s="1196"/>
      <c r="AT63" s="1196"/>
      <c r="AU63" s="1196"/>
      <c r="AV63" s="1197"/>
    </row>
    <row r="64" spans="1:48" ht="15" customHeight="1">
      <c r="A64" s="76"/>
      <c r="B64" s="18"/>
      <c r="F64" s="72"/>
      <c r="G64" s="418" t="s">
        <v>634</v>
      </c>
      <c r="H64" s="96"/>
      <c r="K64" s="15" t="s">
        <v>30</v>
      </c>
      <c r="L64" s="149" t="s">
        <v>635</v>
      </c>
      <c r="M64" s="32"/>
      <c r="N64" s="93"/>
      <c r="O64" s="93"/>
      <c r="P64" s="93"/>
      <c r="Q64" s="93"/>
      <c r="T64" s="21"/>
      <c r="U64" s="508" t="s">
        <v>636</v>
      </c>
      <c r="V64" s="117"/>
      <c r="W64" s="117"/>
      <c r="X64" s="115"/>
      <c r="Y64" s="117"/>
      <c r="Z64" s="509"/>
      <c r="AA64" s="509"/>
      <c r="AB64" s="115"/>
      <c r="AC64" s="119"/>
      <c r="AD64" s="510"/>
      <c r="AE64" s="510"/>
      <c r="AF64" s="115"/>
      <c r="AG64" s="511"/>
      <c r="AH64" s="122"/>
      <c r="AI64" s="906" t="s">
        <v>637</v>
      </c>
      <c r="AJ64" s="907"/>
      <c r="AK64" s="1192" t="s">
        <v>638</v>
      </c>
      <c r="AL64" s="1193"/>
      <c r="AM64" s="1193"/>
      <c r="AN64" s="1193"/>
      <c r="AO64" s="1194"/>
      <c r="AP64" s="885" t="s">
        <v>637</v>
      </c>
      <c r="AQ64" s="885"/>
      <c r="AR64" s="1195"/>
      <c r="AS64" s="1196"/>
      <c r="AT64" s="1196"/>
      <c r="AU64" s="1196"/>
      <c r="AV64" s="1197"/>
    </row>
    <row r="65" spans="1:48" ht="15" customHeight="1">
      <c r="A65" s="337"/>
      <c r="B65" s="340"/>
      <c r="C65" s="338"/>
      <c r="D65" s="338"/>
      <c r="E65" s="338"/>
      <c r="F65" s="339"/>
      <c r="G65" s="504" t="s">
        <v>639</v>
      </c>
      <c r="H65" s="344"/>
      <c r="I65" s="512"/>
      <c r="J65" s="512"/>
      <c r="K65" s="338" t="s">
        <v>30</v>
      </c>
      <c r="L65" s="513">
        <v>10</v>
      </c>
      <c r="M65" s="491" t="s">
        <v>640</v>
      </c>
      <c r="N65" s="344"/>
      <c r="O65" s="344"/>
      <c r="P65" s="344"/>
      <c r="Q65" s="344"/>
      <c r="R65" s="340"/>
      <c r="S65" s="340"/>
      <c r="T65" s="211"/>
      <c r="U65" s="418"/>
      <c r="V65" s="305"/>
      <c r="W65" s="237"/>
      <c r="X65" s="237"/>
      <c r="Y65" s="15"/>
      <c r="Z65" s="32"/>
      <c r="AA65" s="82"/>
      <c r="AB65" s="82"/>
      <c r="AC65" s="861"/>
      <c r="AD65" s="861"/>
      <c r="AF65" s="18"/>
      <c r="AG65" s="82"/>
      <c r="AI65" s="906" t="s">
        <v>641</v>
      </c>
      <c r="AJ65" s="907"/>
      <c r="AK65" s="1209" t="s">
        <v>642</v>
      </c>
      <c r="AL65" s="1210"/>
      <c r="AM65" s="1210"/>
      <c r="AN65" s="1210"/>
      <c r="AO65" s="1211"/>
      <c r="AP65" s="885" t="s">
        <v>641</v>
      </c>
      <c r="AQ65" s="885"/>
      <c r="AR65" s="1195"/>
      <c r="AS65" s="1196"/>
      <c r="AT65" s="1196"/>
      <c r="AU65" s="1196"/>
      <c r="AV65" s="1197"/>
    </row>
    <row r="66" spans="1:48" ht="15" customHeight="1">
      <c r="A66" s="73" t="s">
        <v>643</v>
      </c>
      <c r="B66" s="18"/>
      <c r="F66" s="72"/>
      <c r="G66" s="514" t="s">
        <v>644</v>
      </c>
      <c r="H66" s="93"/>
      <c r="J66" s="15"/>
      <c r="K66" s="15"/>
      <c r="L66" s="15"/>
      <c r="M66" s="15"/>
      <c r="N66" s="15"/>
      <c r="O66" s="515" t="s">
        <v>645</v>
      </c>
      <c r="P66" s="93"/>
      <c r="Q66" s="15"/>
      <c r="R66" s="15"/>
      <c r="S66" s="15"/>
      <c r="T66" s="21"/>
      <c r="U66" s="418"/>
      <c r="V66" s="516" t="s">
        <v>646</v>
      </c>
      <c r="W66" s="15" t="s">
        <v>30</v>
      </c>
      <c r="X66" s="81"/>
      <c r="Y66" s="15"/>
      <c r="Z66" s="517"/>
      <c r="AA66" s="16"/>
      <c r="AB66" s="16"/>
      <c r="AC66" s="516" t="s">
        <v>647</v>
      </c>
      <c r="AD66" s="15" t="s">
        <v>30</v>
      </c>
      <c r="AE66" s="81"/>
      <c r="AF66" s="18"/>
      <c r="AI66" s="906" t="s">
        <v>648</v>
      </c>
      <c r="AJ66" s="907"/>
      <c r="AK66" s="1212"/>
      <c r="AL66" s="1213"/>
      <c r="AM66" s="1213"/>
      <c r="AN66" s="1213"/>
      <c r="AO66" s="1214"/>
      <c r="AP66" s="885" t="s">
        <v>648</v>
      </c>
      <c r="AQ66" s="885"/>
      <c r="AR66" s="1195"/>
      <c r="AS66" s="1196"/>
      <c r="AT66" s="1196"/>
      <c r="AU66" s="1196"/>
      <c r="AV66" s="1197"/>
    </row>
    <row r="67" spans="1:48" ht="15" customHeight="1">
      <c r="A67" s="73"/>
      <c r="B67" s="18"/>
      <c r="C67" s="18"/>
      <c r="D67" s="18"/>
      <c r="E67" s="18"/>
      <c r="F67" s="72"/>
      <c r="G67" s="520" t="s">
        <v>649</v>
      </c>
      <c r="H67" s="435"/>
      <c r="J67" s="521" t="s">
        <v>650</v>
      </c>
      <c r="K67" s="305"/>
      <c r="L67" s="77"/>
      <c r="N67" s="77"/>
      <c r="O67" s="521" t="s">
        <v>649</v>
      </c>
      <c r="T67" s="21"/>
      <c r="U67" s="418"/>
      <c r="V67" s="522" t="s">
        <v>651</v>
      </c>
      <c r="W67" s="523" t="s">
        <v>30</v>
      </c>
      <c r="X67" s="81"/>
      <c r="Y67" s="15"/>
      <c r="Z67" s="440"/>
      <c r="AA67" s="149"/>
      <c r="AB67" s="149"/>
      <c r="AC67" s="516" t="s">
        <v>652</v>
      </c>
      <c r="AD67" s="15" t="s">
        <v>30</v>
      </c>
      <c r="AE67" s="81"/>
      <c r="AF67" s="18"/>
      <c r="AG67" s="106"/>
      <c r="AH67" s="18"/>
      <c r="AI67" s="906" t="s">
        <v>653</v>
      </c>
      <c r="AJ67" s="907"/>
      <c r="AK67" s="1192" t="s">
        <v>618</v>
      </c>
      <c r="AL67" s="1193"/>
      <c r="AM67" s="1193"/>
      <c r="AN67" s="1193"/>
      <c r="AO67" s="1194"/>
      <c r="AP67" s="885" t="s">
        <v>653</v>
      </c>
      <c r="AQ67" s="885"/>
      <c r="AR67" s="1195"/>
      <c r="AS67" s="1196"/>
      <c r="AT67" s="1196"/>
      <c r="AU67" s="1196"/>
      <c r="AV67" s="1197"/>
    </row>
    <row r="68" spans="1:48" ht="15" customHeight="1">
      <c r="A68" s="73"/>
      <c r="B68" s="18"/>
      <c r="F68" s="72"/>
      <c r="G68" s="366" t="s">
        <v>37</v>
      </c>
      <c r="H68" s="32" t="s">
        <v>654</v>
      </c>
      <c r="J68" s="302" t="s">
        <v>37</v>
      </c>
      <c r="K68" s="32" t="s">
        <v>655</v>
      </c>
      <c r="L68" s="77"/>
      <c r="M68" s="77"/>
      <c r="N68" s="77"/>
      <c r="O68" s="302" t="s">
        <v>37</v>
      </c>
      <c r="P68" s="32" t="s">
        <v>654</v>
      </c>
      <c r="T68" s="21"/>
      <c r="U68" s="524"/>
      <c r="V68" s="516" t="s">
        <v>656</v>
      </c>
      <c r="W68" s="270" t="s">
        <v>30</v>
      </c>
      <c r="X68" s="81"/>
      <c r="Y68" s="525"/>
      <c r="Z68" s="525"/>
      <c r="AA68" s="476"/>
      <c r="AC68" s="522" t="s">
        <v>657</v>
      </c>
      <c r="AD68" s="523" t="s">
        <v>30</v>
      </c>
      <c r="AE68" s="81"/>
      <c r="AF68" s="106"/>
      <c r="AG68" s="18"/>
      <c r="AH68" s="18"/>
      <c r="AI68" s="906" t="s">
        <v>658</v>
      </c>
      <c r="AJ68" s="907"/>
      <c r="AK68" s="1192" t="s">
        <v>618</v>
      </c>
      <c r="AL68" s="1193"/>
      <c r="AM68" s="1193"/>
      <c r="AN68" s="1193"/>
      <c r="AO68" s="1194"/>
      <c r="AP68" s="885" t="s">
        <v>658</v>
      </c>
      <c r="AQ68" s="885"/>
      <c r="AR68" s="1195"/>
      <c r="AS68" s="1196"/>
      <c r="AT68" s="1196"/>
      <c r="AU68" s="1196"/>
      <c r="AV68" s="1197"/>
    </row>
    <row r="69" spans="1:48" ht="15" customHeight="1">
      <c r="A69" s="73"/>
      <c r="B69" s="18"/>
      <c r="F69" s="72"/>
      <c r="G69" s="366" t="s">
        <v>37</v>
      </c>
      <c r="H69" s="32" t="s">
        <v>659</v>
      </c>
      <c r="I69" s="15"/>
      <c r="J69" s="302" t="s">
        <v>37</v>
      </c>
      <c r="K69" s="32" t="s">
        <v>660</v>
      </c>
      <c r="L69" s="77"/>
      <c r="M69" s="15"/>
      <c r="N69" s="77"/>
      <c r="O69" s="302" t="s">
        <v>37</v>
      </c>
      <c r="P69" s="32" t="s">
        <v>659</v>
      </c>
      <c r="Q69" s="15"/>
      <c r="T69" s="21"/>
      <c r="U69" s="524"/>
      <c r="V69" s="516" t="s">
        <v>661</v>
      </c>
      <c r="W69" s="15" t="s">
        <v>30</v>
      </c>
      <c r="X69" s="81"/>
      <c r="AC69" s="516" t="s">
        <v>662</v>
      </c>
      <c r="AD69" s="270" t="s">
        <v>30</v>
      </c>
      <c r="AE69" s="81"/>
      <c r="AI69" s="906" t="s">
        <v>663</v>
      </c>
      <c r="AJ69" s="907"/>
      <c r="AK69" s="1192" t="s">
        <v>618</v>
      </c>
      <c r="AL69" s="1193"/>
      <c r="AM69" s="1193"/>
      <c r="AN69" s="1193"/>
      <c r="AO69" s="1194"/>
      <c r="AP69" s="885" t="s">
        <v>663</v>
      </c>
      <c r="AQ69" s="885"/>
      <c r="AR69" s="1195"/>
      <c r="AS69" s="1196"/>
      <c r="AT69" s="1196"/>
      <c r="AU69" s="1196"/>
      <c r="AV69" s="1197"/>
    </row>
    <row r="70" spans="1:48" ht="15" customHeight="1">
      <c r="A70" s="73"/>
      <c r="B70" s="18"/>
      <c r="F70" s="72"/>
      <c r="G70" s="366" t="s">
        <v>37</v>
      </c>
      <c r="H70" s="32" t="s">
        <v>664</v>
      </c>
      <c r="J70" s="302" t="s">
        <v>37</v>
      </c>
      <c r="K70" s="32" t="s">
        <v>665</v>
      </c>
      <c r="L70" s="77"/>
      <c r="M70" s="15"/>
      <c r="N70" s="77"/>
      <c r="O70" s="302" t="s">
        <v>37</v>
      </c>
      <c r="P70" s="32" t="s">
        <v>664</v>
      </c>
      <c r="T70" s="21"/>
      <c r="U70" s="526"/>
      <c r="V70" s="516" t="s">
        <v>666</v>
      </c>
      <c r="W70" s="15" t="s">
        <v>30</v>
      </c>
      <c r="X70" s="81"/>
      <c r="AC70" s="516" t="s">
        <v>667</v>
      </c>
      <c r="AD70" s="15" t="s">
        <v>30</v>
      </c>
      <c r="AE70" s="81"/>
      <c r="AI70" s="906" t="s">
        <v>668</v>
      </c>
      <c r="AJ70" s="907"/>
      <c r="AK70" s="1192" t="s">
        <v>618</v>
      </c>
      <c r="AL70" s="1193"/>
      <c r="AM70" s="1193"/>
      <c r="AN70" s="1193"/>
      <c r="AO70" s="1194"/>
      <c r="AP70" s="885" t="s">
        <v>668</v>
      </c>
      <c r="AQ70" s="885"/>
      <c r="AR70" s="1195"/>
      <c r="AS70" s="1196"/>
      <c r="AT70" s="1196"/>
      <c r="AU70" s="1196"/>
      <c r="AV70" s="1197"/>
    </row>
    <row r="71" spans="1:48" ht="15" customHeight="1">
      <c r="A71" s="73"/>
      <c r="B71" s="18"/>
      <c r="C71" s="18"/>
      <c r="F71" s="72"/>
      <c r="G71" s="527" t="s">
        <v>37</v>
      </c>
      <c r="H71" s="32" t="s">
        <v>669</v>
      </c>
      <c r="J71" s="302" t="s">
        <v>37</v>
      </c>
      <c r="K71" s="32" t="s">
        <v>670</v>
      </c>
      <c r="L71" s="77"/>
      <c r="M71" s="402"/>
      <c r="N71" s="77"/>
      <c r="O71" s="16" t="s">
        <v>37</v>
      </c>
      <c r="P71" s="32" t="s">
        <v>669</v>
      </c>
      <c r="Q71" s="77"/>
      <c r="T71" s="21"/>
      <c r="U71" s="70"/>
      <c r="V71" s="516" t="s">
        <v>671</v>
      </c>
      <c r="W71" s="270" t="s">
        <v>30</v>
      </c>
      <c r="X71" s="81"/>
      <c r="Y71" s="80"/>
      <c r="Z71" s="82"/>
      <c r="AC71" s="516" t="s">
        <v>672</v>
      </c>
      <c r="AD71" s="15" t="s">
        <v>30</v>
      </c>
      <c r="AE71" s="81"/>
      <c r="AI71" s="906" t="s">
        <v>673</v>
      </c>
      <c r="AJ71" s="907"/>
      <c r="AK71" s="1192" t="s">
        <v>674</v>
      </c>
      <c r="AL71" s="1193"/>
      <c r="AM71" s="1193"/>
      <c r="AN71" s="1193"/>
      <c r="AO71" s="1194"/>
      <c r="AP71" s="885" t="s">
        <v>673</v>
      </c>
      <c r="AQ71" s="885"/>
      <c r="AR71" s="1195"/>
      <c r="AS71" s="1196"/>
      <c r="AT71" s="1196"/>
      <c r="AU71" s="1196"/>
      <c r="AV71" s="1197"/>
    </row>
    <row r="72" spans="1:48" ht="15" customHeight="1">
      <c r="A72" s="73"/>
      <c r="F72" s="72"/>
      <c r="G72" s="527" t="s">
        <v>37</v>
      </c>
      <c r="H72" s="32" t="s">
        <v>675</v>
      </c>
      <c r="J72" s="302" t="s">
        <v>37</v>
      </c>
      <c r="K72" s="32" t="s">
        <v>676</v>
      </c>
      <c r="L72" s="77"/>
      <c r="N72" s="77"/>
      <c r="O72" s="15"/>
      <c r="P72" s="32" t="s">
        <v>675</v>
      </c>
      <c r="T72" s="21"/>
      <c r="U72" s="73"/>
      <c r="V72" s="516" t="s">
        <v>677</v>
      </c>
      <c r="W72" s="15" t="s">
        <v>30</v>
      </c>
      <c r="X72" s="81"/>
      <c r="AI72" s="906" t="s">
        <v>678</v>
      </c>
      <c r="AJ72" s="907"/>
      <c r="AK72" s="1192" t="s">
        <v>679</v>
      </c>
      <c r="AL72" s="1193"/>
      <c r="AM72" s="1193"/>
      <c r="AN72" s="1193"/>
      <c r="AO72" s="1194"/>
      <c r="AP72" s="885" t="s">
        <v>678</v>
      </c>
      <c r="AQ72" s="885"/>
      <c r="AR72" s="1195"/>
      <c r="AS72" s="1196"/>
      <c r="AT72" s="1196"/>
      <c r="AU72" s="1196"/>
      <c r="AV72" s="1197"/>
    </row>
    <row r="73" spans="1:48" ht="15" customHeight="1">
      <c r="A73" s="73"/>
      <c r="B73" s="18"/>
      <c r="G73" s="1198" t="s">
        <v>680</v>
      </c>
      <c r="H73" s="1199"/>
      <c r="I73" s="1199"/>
      <c r="J73" s="1199"/>
      <c r="K73" s="1199"/>
      <c r="L73" s="1199"/>
      <c r="M73" s="1199"/>
      <c r="N73" s="1199"/>
      <c r="O73" s="528" t="s">
        <v>650</v>
      </c>
      <c r="P73" s="93"/>
      <c r="Q73" s="24"/>
      <c r="R73" s="24"/>
      <c r="S73" s="24"/>
      <c r="T73" s="232"/>
      <c r="U73" s="70"/>
      <c r="V73" s="516" t="s">
        <v>681</v>
      </c>
      <c r="W73" s="15" t="s">
        <v>30</v>
      </c>
      <c r="X73" s="81"/>
      <c r="Y73" s="24"/>
      <c r="Z73" s="24"/>
      <c r="AA73" s="24"/>
      <c r="AB73" s="24"/>
      <c r="AC73" s="24"/>
      <c r="AD73" s="24"/>
      <c r="AE73" s="24"/>
      <c r="AF73" s="24"/>
      <c r="AG73" s="24"/>
      <c r="AH73" s="232"/>
      <c r="AI73" s="906">
        <v>34</v>
      </c>
      <c r="AJ73" s="907"/>
      <c r="AK73" s="1192" t="s">
        <v>679</v>
      </c>
      <c r="AL73" s="1193"/>
      <c r="AM73" s="1193"/>
      <c r="AN73" s="1193"/>
      <c r="AO73" s="1194"/>
      <c r="AP73" s="885">
        <v>34</v>
      </c>
      <c r="AQ73" s="885"/>
      <c r="AR73" s="1195"/>
      <c r="AS73" s="1196"/>
      <c r="AT73" s="1196"/>
      <c r="AU73" s="1196"/>
      <c r="AV73" s="1197"/>
    </row>
    <row r="74" spans="1:48" ht="15" customHeight="1">
      <c r="A74" s="73"/>
      <c r="B74" s="18"/>
      <c r="G74" s="1198"/>
      <c r="H74" s="1199"/>
      <c r="I74" s="1199"/>
      <c r="J74" s="1199"/>
      <c r="K74" s="1199"/>
      <c r="L74" s="1199"/>
      <c r="M74" s="1199"/>
      <c r="N74" s="1199"/>
      <c r="O74" s="302" t="s">
        <v>37</v>
      </c>
      <c r="P74" s="32" t="s">
        <v>655</v>
      </c>
      <c r="Q74" s="24"/>
      <c r="R74" s="24"/>
      <c r="S74" s="24"/>
      <c r="T74" s="232"/>
      <c r="U74" s="70"/>
      <c r="V74" s="516" t="s">
        <v>682</v>
      </c>
      <c r="W74" s="15" t="s">
        <v>30</v>
      </c>
      <c r="X74" s="81"/>
      <c r="Y74" s="24"/>
      <c r="Z74" s="24"/>
      <c r="AA74" s="24"/>
      <c r="AB74" s="24"/>
      <c r="AC74" s="24"/>
      <c r="AD74" s="24"/>
      <c r="AE74" s="24"/>
      <c r="AF74" s="24"/>
      <c r="AG74" s="24"/>
      <c r="AH74" s="232"/>
      <c r="AI74" s="906" t="s">
        <v>683</v>
      </c>
      <c r="AJ74" s="907"/>
      <c r="AK74" s="1192" t="s">
        <v>684</v>
      </c>
      <c r="AL74" s="1193"/>
      <c r="AM74" s="1193"/>
      <c r="AN74" s="1193"/>
      <c r="AO74" s="1194"/>
      <c r="AP74" s="885" t="s">
        <v>683</v>
      </c>
      <c r="AQ74" s="885"/>
      <c r="AR74" s="1195"/>
      <c r="AS74" s="1196"/>
      <c r="AT74" s="1196"/>
      <c r="AU74" s="1196"/>
      <c r="AV74" s="1197"/>
    </row>
    <row r="75" spans="1:48" ht="15" customHeight="1">
      <c r="A75" s="358"/>
      <c r="B75" s="165"/>
      <c r="C75" s="165"/>
      <c r="D75" s="165"/>
      <c r="E75" s="165"/>
      <c r="F75" s="166"/>
      <c r="G75" s="1200"/>
      <c r="H75" s="1201"/>
      <c r="I75" s="1201"/>
      <c r="J75" s="1201"/>
      <c r="K75" s="1201"/>
      <c r="L75" s="1201"/>
      <c r="M75" s="1201"/>
      <c r="N75" s="1201"/>
      <c r="O75" s="529"/>
      <c r="P75" s="530"/>
      <c r="Q75" s="174"/>
      <c r="R75" s="174"/>
      <c r="S75" s="174"/>
      <c r="T75" s="359"/>
      <c r="U75" s="174"/>
      <c r="V75" s="174"/>
      <c r="W75" s="174"/>
      <c r="X75" s="174"/>
      <c r="Y75" s="174"/>
      <c r="Z75" s="174"/>
      <c r="AA75" s="174"/>
      <c r="AB75" s="174"/>
      <c r="AC75" s="174"/>
      <c r="AD75" s="174"/>
      <c r="AE75" s="174"/>
      <c r="AF75" s="165"/>
      <c r="AG75" s="165"/>
      <c r="AH75" s="165"/>
      <c r="AI75" s="1202">
        <v>37</v>
      </c>
      <c r="AJ75" s="899"/>
      <c r="AK75" s="1203" t="s">
        <v>618</v>
      </c>
      <c r="AL75" s="1204"/>
      <c r="AM75" s="1204"/>
      <c r="AN75" s="1204"/>
      <c r="AO75" s="1205"/>
      <c r="AP75" s="886">
        <v>37</v>
      </c>
      <c r="AQ75" s="886"/>
      <c r="AR75" s="1206"/>
      <c r="AS75" s="1207"/>
      <c r="AT75" s="1207"/>
      <c r="AU75" s="1207"/>
      <c r="AV75" s="1208"/>
    </row>
    <row r="76" spans="1:48">
      <c r="A76" s="181"/>
      <c r="K76" s="302"/>
      <c r="L76" s="149"/>
    </row>
    <row r="77" spans="1:48">
      <c r="AH77" s="24"/>
      <c r="AI77" s="24"/>
      <c r="AJ77" s="24"/>
    </row>
    <row r="78" spans="1:48">
      <c r="V78" s="531"/>
      <c r="W78" s="531"/>
      <c r="X78" s="531"/>
      <c r="Y78" s="531"/>
      <c r="Z78" s="531"/>
      <c r="AA78" s="531"/>
      <c r="AB78" s="531"/>
      <c r="AC78" s="531"/>
      <c r="AD78" s="531"/>
      <c r="AE78" s="531"/>
      <c r="AF78" s="531"/>
      <c r="AG78" s="531"/>
      <c r="AH78" s="531"/>
      <c r="AI78" s="531"/>
      <c r="AJ78" s="531"/>
    </row>
    <row r="79" spans="1:48">
      <c r="V79" s="531"/>
      <c r="W79" s="531"/>
      <c r="X79" s="531"/>
      <c r="Y79" s="531"/>
      <c r="Z79" s="531"/>
      <c r="AA79" s="531"/>
      <c r="AB79" s="531"/>
      <c r="AC79" s="531"/>
      <c r="AD79" s="531"/>
      <c r="AE79" s="531"/>
      <c r="AF79" s="531"/>
      <c r="AG79" s="531"/>
      <c r="AH79" s="531"/>
      <c r="AI79" s="531"/>
      <c r="AJ79" s="531"/>
    </row>
    <row r="80" spans="1:48">
      <c r="V80" s="531"/>
      <c r="W80" s="531"/>
      <c r="X80" s="531"/>
      <c r="Y80" s="531"/>
      <c r="Z80" s="531"/>
      <c r="AA80" s="531"/>
      <c r="AB80" s="531"/>
      <c r="AC80" s="531"/>
      <c r="AD80" s="531"/>
      <c r="AE80" s="531"/>
      <c r="AF80" s="531"/>
      <c r="AG80" s="531"/>
      <c r="AH80" s="531"/>
      <c r="AI80" s="531"/>
      <c r="AJ80" s="531"/>
    </row>
    <row r="81" spans="22:39">
      <c r="V81" s="531"/>
      <c r="W81" s="531"/>
      <c r="X81" s="531"/>
      <c r="Y81" s="531"/>
      <c r="Z81" s="531"/>
      <c r="AA81" s="531"/>
      <c r="AB81" s="531"/>
      <c r="AC81" s="531"/>
      <c r="AD81" s="531"/>
      <c r="AE81" s="531"/>
      <c r="AF81" s="531"/>
      <c r="AG81" s="531"/>
      <c r="AH81" s="531"/>
      <c r="AI81" s="531"/>
      <c r="AJ81" s="531"/>
    </row>
    <row r="82" spans="22:39">
      <c r="V82" s="531"/>
      <c r="W82" s="531"/>
      <c r="X82" s="531"/>
      <c r="Y82" s="531"/>
      <c r="Z82" s="531"/>
      <c r="AA82" s="531"/>
      <c r="AB82" s="531"/>
      <c r="AC82" s="531"/>
      <c r="AD82" s="531"/>
      <c r="AE82" s="531"/>
      <c r="AF82" s="531"/>
      <c r="AG82" s="531"/>
      <c r="AH82" s="531"/>
      <c r="AI82" s="531"/>
      <c r="AJ82" s="531"/>
      <c r="AK82" s="24"/>
      <c r="AL82" s="24"/>
      <c r="AM82" s="24"/>
    </row>
    <row r="83" spans="22:39">
      <c r="V83" s="525"/>
      <c r="W83" s="525"/>
      <c r="X83" s="525"/>
      <c r="Y83" s="525"/>
      <c r="Z83" s="525"/>
      <c r="AA83" s="525"/>
      <c r="AB83" s="525"/>
      <c r="AC83" s="525"/>
      <c r="AD83" s="532"/>
      <c r="AF83" s="533"/>
      <c r="AG83" s="18"/>
      <c r="AH83" s="18"/>
      <c r="AI83" s="24"/>
      <c r="AJ83" s="24"/>
      <c r="AK83" s="24"/>
      <c r="AL83" s="24"/>
      <c r="AM83" s="24"/>
    </row>
    <row r="84" spans="22:39"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  <c r="AJ84" s="24"/>
      <c r="AK84" s="24"/>
      <c r="AL84" s="24"/>
      <c r="AM84" s="24"/>
    </row>
    <row r="85" spans="22:39"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  <c r="AJ85" s="24"/>
      <c r="AK85" s="24"/>
      <c r="AL85" s="24"/>
      <c r="AM85" s="24"/>
    </row>
    <row r="86" spans="22:39"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  <c r="AJ86" s="24"/>
      <c r="AK86" s="24"/>
      <c r="AL86" s="24"/>
      <c r="AM86" s="24"/>
    </row>
    <row r="87" spans="22:39"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  <c r="AJ87" s="24"/>
      <c r="AK87" s="24"/>
      <c r="AL87" s="24"/>
      <c r="AM87" s="24"/>
    </row>
    <row r="88" spans="22:39"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  <c r="AJ88" s="24"/>
      <c r="AK88" s="24"/>
      <c r="AL88" s="24"/>
      <c r="AM88" s="24"/>
    </row>
    <row r="89" spans="22:39"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  <c r="AJ89" s="24"/>
      <c r="AK89" s="24"/>
      <c r="AL89" s="24"/>
      <c r="AM89" s="24"/>
    </row>
    <row r="90" spans="22:39"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  <c r="AJ90" s="24"/>
      <c r="AK90" s="24"/>
      <c r="AL90" s="24"/>
      <c r="AM90" s="24"/>
    </row>
    <row r="91" spans="22:39"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  <c r="AJ91" s="24"/>
      <c r="AK91" s="24"/>
      <c r="AL91" s="24"/>
      <c r="AM91" s="24"/>
    </row>
    <row r="92" spans="22:39"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  <c r="AJ92" s="24"/>
      <c r="AK92" s="24"/>
      <c r="AL92" s="24"/>
      <c r="AM92" s="24"/>
    </row>
    <row r="93" spans="22:39"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  <c r="AJ93" s="24"/>
      <c r="AK93" s="24"/>
      <c r="AL93" s="24"/>
      <c r="AM93" s="24"/>
    </row>
    <row r="94" spans="22:39"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  <c r="AJ94" s="24"/>
      <c r="AK94" s="24"/>
      <c r="AL94" s="24"/>
      <c r="AM94" s="24"/>
    </row>
    <row r="95" spans="22:39"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  <c r="AJ95" s="24"/>
      <c r="AK95" s="24"/>
      <c r="AL95" s="24"/>
      <c r="AM95" s="24"/>
    </row>
    <row r="96" spans="22:39"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  <c r="AJ96" s="24"/>
      <c r="AK96" s="24"/>
      <c r="AL96" s="24"/>
      <c r="AM96" s="24"/>
    </row>
    <row r="97" spans="22:39">
      <c r="V97" s="24"/>
      <c r="W97" s="24"/>
      <c r="X97" s="24"/>
      <c r="Y97" s="24"/>
      <c r="Z97" s="24"/>
      <c r="AA97" s="24"/>
      <c r="AB97" s="24"/>
      <c r="AC97" s="24"/>
      <c r="AD97" s="24"/>
      <c r="AE97" s="24"/>
      <c r="AF97" s="24"/>
      <c r="AG97" s="24"/>
      <c r="AH97" s="24"/>
      <c r="AI97" s="24"/>
      <c r="AJ97" s="24"/>
      <c r="AK97" s="24"/>
      <c r="AL97" s="24"/>
      <c r="AM97" s="24"/>
    </row>
    <row r="98" spans="22:39">
      <c r="V98" s="24"/>
      <c r="W98" s="24"/>
      <c r="X98" s="24"/>
      <c r="Y98" s="24"/>
      <c r="Z98" s="24"/>
      <c r="AA98" s="24"/>
      <c r="AB98" s="24"/>
      <c r="AC98" s="24"/>
      <c r="AD98" s="24"/>
      <c r="AE98" s="24"/>
      <c r="AF98" s="24"/>
      <c r="AG98" s="24"/>
      <c r="AH98" s="24"/>
      <c r="AI98" s="24"/>
      <c r="AJ98" s="24"/>
      <c r="AK98" s="24"/>
      <c r="AL98" s="24"/>
      <c r="AM98" s="24"/>
    </row>
    <row r="99" spans="22:39">
      <c r="V99" s="24"/>
      <c r="W99" s="24"/>
      <c r="X99" s="24"/>
      <c r="Y99" s="24"/>
      <c r="Z99" s="24"/>
      <c r="AA99" s="24"/>
      <c r="AB99" s="24"/>
      <c r="AC99" s="24"/>
      <c r="AD99" s="24"/>
      <c r="AE99" s="24"/>
      <c r="AF99" s="24"/>
      <c r="AG99" s="24"/>
      <c r="AH99" s="24"/>
      <c r="AI99" s="24"/>
      <c r="AJ99" s="24"/>
      <c r="AK99" s="24"/>
      <c r="AL99" s="24"/>
      <c r="AM99" s="24"/>
    </row>
    <row r="100" spans="22:39">
      <c r="V100" s="24"/>
      <c r="W100" s="24"/>
      <c r="X100" s="24"/>
      <c r="Y100" s="24"/>
      <c r="Z100" s="24"/>
      <c r="AA100" s="24"/>
      <c r="AB100" s="24"/>
      <c r="AC100" s="24"/>
      <c r="AD100" s="24"/>
      <c r="AE100" s="24"/>
      <c r="AF100" s="24"/>
      <c r="AG100" s="24"/>
      <c r="AH100" s="24"/>
      <c r="AI100" s="24"/>
      <c r="AJ100" s="24"/>
      <c r="AK100" s="24"/>
      <c r="AL100" s="24"/>
      <c r="AM100" s="24"/>
    </row>
    <row r="101" spans="22:39">
      <c r="V101" s="24"/>
      <c r="W101" s="24"/>
      <c r="X101" s="24"/>
      <c r="Y101" s="24"/>
      <c r="Z101" s="24"/>
      <c r="AA101" s="24"/>
      <c r="AB101" s="24"/>
      <c r="AC101" s="24"/>
      <c r="AD101" s="24"/>
      <c r="AE101" s="24"/>
      <c r="AF101" s="24"/>
      <c r="AG101" s="24"/>
      <c r="AH101" s="24"/>
      <c r="AI101" s="24"/>
      <c r="AJ101" s="24"/>
      <c r="AK101" s="24"/>
      <c r="AL101" s="24"/>
      <c r="AM101" s="24"/>
    </row>
    <row r="102" spans="22:39">
      <c r="V102" s="24"/>
      <c r="W102" s="24"/>
      <c r="X102" s="24"/>
      <c r="Y102" s="24"/>
      <c r="Z102" s="24"/>
      <c r="AA102" s="24"/>
      <c r="AB102" s="24"/>
      <c r="AC102" s="24"/>
      <c r="AD102" s="24"/>
      <c r="AE102" s="24"/>
      <c r="AF102" s="24"/>
      <c r="AG102" s="24"/>
      <c r="AH102" s="24"/>
      <c r="AI102" s="24"/>
      <c r="AJ102" s="24"/>
      <c r="AK102" s="24"/>
      <c r="AL102" s="24"/>
      <c r="AM102" s="24"/>
    </row>
    <row r="103" spans="22:39">
      <c r="V103" s="24"/>
      <c r="W103" s="24"/>
      <c r="X103" s="24"/>
      <c r="Y103" s="24"/>
      <c r="Z103" s="24"/>
      <c r="AA103" s="24"/>
      <c r="AB103" s="24"/>
      <c r="AC103" s="24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</row>
    <row r="104" spans="22:39">
      <c r="V104" s="24"/>
      <c r="W104" s="24"/>
      <c r="X104" s="24"/>
      <c r="Y104" s="24"/>
      <c r="Z104" s="24"/>
      <c r="AA104" s="24"/>
      <c r="AB104" s="24"/>
      <c r="AC104" s="24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</row>
    <row r="105" spans="22:39">
      <c r="V105" s="24"/>
      <c r="W105" s="24"/>
      <c r="X105" s="24"/>
      <c r="Y105" s="24"/>
      <c r="Z105" s="24"/>
      <c r="AA105" s="24"/>
      <c r="AB105" s="24"/>
      <c r="AC105" s="24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</row>
    <row r="106" spans="22:39">
      <c r="V106" s="24"/>
      <c r="W106" s="24"/>
      <c r="X106" s="24"/>
      <c r="Y106" s="24"/>
      <c r="Z106" s="24"/>
      <c r="AA106" s="24"/>
      <c r="AB106" s="24"/>
      <c r="AC106" s="24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</row>
    <row r="107" spans="22:39">
      <c r="V107" s="24"/>
      <c r="W107" s="24"/>
      <c r="X107" s="24"/>
      <c r="Y107" s="24"/>
      <c r="Z107" s="24"/>
      <c r="AA107" s="24"/>
      <c r="AB107" s="24"/>
      <c r="AC107" s="24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</row>
  </sheetData>
  <sheetProtection formatCells="0" selectLockedCells="1"/>
  <mergeCells count="170">
    <mergeCell ref="A4:AV4"/>
    <mergeCell ref="AB7:AG7"/>
    <mergeCell ref="AI7:AV29"/>
    <mergeCell ref="H8:K8"/>
    <mergeCell ref="L8:N8"/>
    <mergeCell ref="P8:Q8"/>
    <mergeCell ref="R8:S8"/>
    <mergeCell ref="V8:Z8"/>
    <mergeCell ref="AB8:AG8"/>
    <mergeCell ref="H9:K10"/>
    <mergeCell ref="L10:N10"/>
    <mergeCell ref="P10:Q10"/>
    <mergeCell ref="R10:S10"/>
    <mergeCell ref="V10:Z10"/>
    <mergeCell ref="AB10:AG10"/>
    <mergeCell ref="L9:N9"/>
    <mergeCell ref="P11:Q11"/>
    <mergeCell ref="R11:S11"/>
    <mergeCell ref="V11:AA11"/>
    <mergeCell ref="P9:Q9"/>
    <mergeCell ref="R9:S9"/>
    <mergeCell ref="A1:AS1"/>
    <mergeCell ref="A2:AR2"/>
    <mergeCell ref="A3:F3"/>
    <mergeCell ref="G3:T3"/>
    <mergeCell ref="U3:AH3"/>
    <mergeCell ref="AI3:AV3"/>
    <mergeCell ref="AE13:AG13"/>
    <mergeCell ref="AE11:AG11"/>
    <mergeCell ref="L12:N12"/>
    <mergeCell ref="P12:Q12"/>
    <mergeCell ref="R12:S12"/>
    <mergeCell ref="V12:Z12"/>
    <mergeCell ref="AB12:AD12"/>
    <mergeCell ref="AE12:AG12"/>
    <mergeCell ref="AB11:AD11"/>
    <mergeCell ref="H13:N13"/>
    <mergeCell ref="P13:Q13"/>
    <mergeCell ref="R13:S13"/>
    <mergeCell ref="V13:Z13"/>
    <mergeCell ref="AB13:AD13"/>
    <mergeCell ref="V9:Z9"/>
    <mergeCell ref="AB9:AG9"/>
    <mergeCell ref="H11:K12"/>
    <mergeCell ref="L11:N11"/>
    <mergeCell ref="A45:AV45"/>
    <mergeCell ref="AI47:AJ48"/>
    <mergeCell ref="AK47:AP47"/>
    <mergeCell ref="AQ47:AV47"/>
    <mergeCell ref="AK48:AM48"/>
    <mergeCell ref="AN48:AP48"/>
    <mergeCell ref="AQ48:AS48"/>
    <mergeCell ref="AT48:AV48"/>
    <mergeCell ref="V14:Z14"/>
    <mergeCell ref="AA14:AG14"/>
    <mergeCell ref="G16:T44"/>
    <mergeCell ref="U16:AH44"/>
    <mergeCell ref="AI30:AV30"/>
    <mergeCell ref="AI39:AV39"/>
    <mergeCell ref="AI49:AJ49"/>
    <mergeCell ref="AK49:AM49"/>
    <mergeCell ref="AN49:AP49"/>
    <mergeCell ref="AQ49:AS49"/>
    <mergeCell ref="AT49:AV49"/>
    <mergeCell ref="AI50:AJ50"/>
    <mergeCell ref="AK50:AM50"/>
    <mergeCell ref="AN50:AP50"/>
    <mergeCell ref="AQ50:AS50"/>
    <mergeCell ref="AT50:AV50"/>
    <mergeCell ref="AI51:AJ51"/>
    <mergeCell ref="AK51:AM51"/>
    <mergeCell ref="AN51:AP51"/>
    <mergeCell ref="AQ51:AS51"/>
    <mergeCell ref="AT51:AV51"/>
    <mergeCell ref="AI52:AJ52"/>
    <mergeCell ref="AK52:AM52"/>
    <mergeCell ref="AN52:AP52"/>
    <mergeCell ref="AQ52:AS52"/>
    <mergeCell ref="AT52:AV52"/>
    <mergeCell ref="AI53:AJ53"/>
    <mergeCell ref="AK53:AM53"/>
    <mergeCell ref="AN53:AP53"/>
    <mergeCell ref="AQ53:AS53"/>
    <mergeCell ref="AT53:AV53"/>
    <mergeCell ref="AI58:AJ58"/>
    <mergeCell ref="AK58:AO58"/>
    <mergeCell ref="AP58:AQ58"/>
    <mergeCell ref="AR58:AV58"/>
    <mergeCell ref="AI54:AJ54"/>
    <mergeCell ref="AK54:AM54"/>
    <mergeCell ref="AN54:AP54"/>
    <mergeCell ref="AQ54:AS54"/>
    <mergeCell ref="AT54:AV54"/>
    <mergeCell ref="AI56:AJ56"/>
    <mergeCell ref="AK56:AO56"/>
    <mergeCell ref="AP56:AQ56"/>
    <mergeCell ref="AR56:AV56"/>
    <mergeCell ref="AI57:AJ57"/>
    <mergeCell ref="AK57:AO57"/>
    <mergeCell ref="AP57:AQ57"/>
    <mergeCell ref="AR57:AV57"/>
    <mergeCell ref="AI64:AJ64"/>
    <mergeCell ref="AK64:AO64"/>
    <mergeCell ref="AP64:AQ64"/>
    <mergeCell ref="AR64:AV64"/>
    <mergeCell ref="AI59:AJ59"/>
    <mergeCell ref="AK59:AO59"/>
    <mergeCell ref="AP59:AQ59"/>
    <mergeCell ref="AR59:AV59"/>
    <mergeCell ref="AI60:AJ60"/>
    <mergeCell ref="AK60:AO60"/>
    <mergeCell ref="AP60:AQ60"/>
    <mergeCell ref="AR60:AV60"/>
    <mergeCell ref="AI61:AJ61"/>
    <mergeCell ref="AK61:AO61"/>
    <mergeCell ref="AP61:AQ61"/>
    <mergeCell ref="AR61:AV61"/>
    <mergeCell ref="AI62:AJ62"/>
    <mergeCell ref="AK62:AO62"/>
    <mergeCell ref="AP62:AQ62"/>
    <mergeCell ref="AR62:AV62"/>
    <mergeCell ref="AI63:AJ63"/>
    <mergeCell ref="AK63:AO63"/>
    <mergeCell ref="AP63:AQ63"/>
    <mergeCell ref="AR63:AV63"/>
    <mergeCell ref="AI70:AJ70"/>
    <mergeCell ref="AK70:AO70"/>
    <mergeCell ref="AP70:AQ70"/>
    <mergeCell ref="AR70:AV70"/>
    <mergeCell ref="AC65:AD65"/>
    <mergeCell ref="AI65:AJ65"/>
    <mergeCell ref="AK65:AO66"/>
    <mergeCell ref="AP65:AQ65"/>
    <mergeCell ref="AR65:AV65"/>
    <mergeCell ref="AI66:AJ66"/>
    <mergeCell ref="AP66:AQ66"/>
    <mergeCell ref="AR66:AV66"/>
    <mergeCell ref="AI67:AJ67"/>
    <mergeCell ref="AK67:AO67"/>
    <mergeCell ref="AP67:AQ67"/>
    <mergeCell ref="AR67:AV67"/>
    <mergeCell ref="AI68:AJ68"/>
    <mergeCell ref="AK68:AO68"/>
    <mergeCell ref="AP68:AQ68"/>
    <mergeCell ref="AR68:AV68"/>
    <mergeCell ref="AI69:AJ69"/>
    <mergeCell ref="AK69:AO69"/>
    <mergeCell ref="AP69:AQ69"/>
    <mergeCell ref="AR69:AV69"/>
    <mergeCell ref="AI71:AJ71"/>
    <mergeCell ref="AK71:AO71"/>
    <mergeCell ref="AP71:AQ71"/>
    <mergeCell ref="AR71:AV71"/>
    <mergeCell ref="AI72:AJ72"/>
    <mergeCell ref="AK72:AO72"/>
    <mergeCell ref="AP72:AQ72"/>
    <mergeCell ref="AR72:AV72"/>
    <mergeCell ref="G73:N75"/>
    <mergeCell ref="AI73:AJ73"/>
    <mergeCell ref="AK73:AO73"/>
    <mergeCell ref="AP73:AQ73"/>
    <mergeCell ref="AR73:AV73"/>
    <mergeCell ref="AI74:AJ74"/>
    <mergeCell ref="AK74:AO74"/>
    <mergeCell ref="AP74:AQ74"/>
    <mergeCell ref="AR74:AV74"/>
    <mergeCell ref="AI75:AJ75"/>
    <mergeCell ref="AK75:AO75"/>
    <mergeCell ref="AP75:AQ75"/>
    <mergeCell ref="AR75:AV75"/>
  </mergeCells>
  <conditionalFormatting sqref="Z47:Z49">
    <cfRule type="containsBlanks" dxfId="17" priority="5" stopIfTrue="1">
      <formula>LEN(TRIM(Z47))=0</formula>
    </cfRule>
  </conditionalFormatting>
  <conditionalFormatting sqref="Z54:Z56">
    <cfRule type="containsBlanks" dxfId="16" priority="3" stopIfTrue="1">
      <formula>LEN(TRIM(Z54))=0</formula>
    </cfRule>
  </conditionalFormatting>
  <conditionalFormatting sqref="Z60:Z63">
    <cfRule type="containsBlanks" dxfId="15" priority="4" stopIfTrue="1">
      <formula>LEN(TRIM(Z60))=0</formula>
    </cfRule>
  </conditionalFormatting>
  <conditionalFormatting sqref="AA14">
    <cfRule type="containsText" dxfId="14" priority="6" stopIfTrue="1" operator="containsText" text="Unacceptable">
      <formula>NOT(ISERROR(SEARCH("Unacceptable",AA14)))</formula>
    </cfRule>
  </conditionalFormatting>
  <conditionalFormatting sqref="AQ49:AQ54 AT49:AT54 AR57:AR75 AE66:AE71 X66:X74">
    <cfRule type="containsBlanks" dxfId="13" priority="7" stopIfTrue="1">
      <formula>LEN(TRIM(X49))=0</formula>
    </cfRule>
  </conditionalFormatting>
  <conditionalFormatting sqref="AS41">
    <cfRule type="containsBlanks" dxfId="12" priority="2" stopIfTrue="1">
      <formula>LEN(TRIM(AS41))=0</formula>
    </cfRule>
  </conditionalFormatting>
  <conditionalFormatting sqref="AS43">
    <cfRule type="containsBlanks" dxfId="11" priority="1" stopIfTrue="1">
      <formula>LEN(TRIM(AS43))=0</formula>
    </cfRule>
  </conditionalFormatting>
  <printOptions horizontalCentered="1"/>
  <pageMargins left="0.25" right="0.22" top="0.39370078740157499" bottom="0.23" header="0" footer="0"/>
  <pageSetup paperSize="9" scale="45" orientation="landscape" r:id="rId1"/>
  <headerFooter alignWithMargins="0">
    <oddHeader>&amp;LPELNG-F-MO.T2-0026 Rev. 00&amp;C&amp;REffective Date: 22/04/2026</oddHeader>
    <oddFooter>&amp;L&amp;C&amp;R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D7A25-8A86-4802-B997-587763C32385}">
  <dimension ref="A1:AQ71"/>
  <sheetViews>
    <sheetView view="pageBreakPreview" topLeftCell="H1" zoomScale="65" zoomScaleNormal="85" zoomScaleSheetLayoutView="70" zoomScalePageLayoutView="44" workbookViewId="0">
      <selection activeCell="AD5" sqref="AD5:AO37"/>
    </sheetView>
  </sheetViews>
  <sheetFormatPr defaultColWidth="9.109375" defaultRowHeight="13.8"/>
  <cols>
    <col min="1" max="1" width="6.6640625" style="177" customWidth="1"/>
    <col min="2" max="2" width="6.6640625" style="15" customWidth="1"/>
    <col min="3" max="3" width="6.5546875" style="15" customWidth="1"/>
    <col min="4" max="5" width="6.6640625" style="15" customWidth="1"/>
    <col min="6" max="6" width="8.88671875" style="18" customWidth="1"/>
    <col min="7" max="19" width="7.88671875" style="18" customWidth="1"/>
    <col min="20" max="20" width="7.88671875" style="15" customWidth="1"/>
    <col min="21" max="22" width="7.88671875" style="18" customWidth="1"/>
    <col min="23" max="23" width="6.77734375" style="18" customWidth="1"/>
    <col min="24" max="24" width="7.88671875" style="18" customWidth="1"/>
    <col min="25" max="25" width="15.77734375" style="18" customWidth="1"/>
    <col min="26" max="27" width="7.88671875" style="18" customWidth="1"/>
    <col min="28" max="28" width="12.109375" style="18" customWidth="1"/>
    <col min="29" max="29" width="4.6640625" style="15" customWidth="1"/>
    <col min="30" max="30" width="6.33203125" style="15" customWidth="1"/>
    <col min="31" max="31" width="8.5546875" style="15" customWidth="1"/>
    <col min="32" max="36" width="6.33203125" style="15" customWidth="1"/>
    <col min="37" max="37" width="28.44140625" style="15" customWidth="1"/>
    <col min="38" max="41" width="6.33203125" style="15" customWidth="1"/>
    <col min="42" max="45" width="9.109375" style="15" customWidth="1"/>
    <col min="46" max="16384" width="9.109375" style="15"/>
  </cols>
  <sheetData>
    <row r="1" spans="1:43" ht="24.9" customHeight="1">
      <c r="A1" s="830" t="s">
        <v>6</v>
      </c>
      <c r="B1" s="831"/>
      <c r="C1" s="831"/>
      <c r="D1" s="831"/>
      <c r="E1" s="831"/>
      <c r="F1" s="831"/>
      <c r="G1" s="831"/>
      <c r="H1" s="831"/>
      <c r="I1" s="831"/>
      <c r="J1" s="831"/>
      <c r="K1" s="831"/>
      <c r="L1" s="831"/>
      <c r="M1" s="831"/>
      <c r="N1" s="831"/>
      <c r="O1" s="831"/>
      <c r="P1" s="831"/>
      <c r="Q1" s="831"/>
      <c r="R1" s="831"/>
      <c r="S1" s="831"/>
      <c r="T1" s="831"/>
      <c r="U1" s="831"/>
      <c r="V1" s="831"/>
      <c r="W1" s="831"/>
      <c r="X1" s="831"/>
      <c r="Y1" s="831"/>
      <c r="Z1" s="831"/>
      <c r="AA1" s="831"/>
      <c r="AB1" s="831"/>
      <c r="AC1" s="831"/>
      <c r="AD1" s="831"/>
      <c r="AE1" s="831"/>
      <c r="AF1" s="831"/>
      <c r="AG1" s="831"/>
      <c r="AH1" s="831"/>
      <c r="AI1" s="831"/>
      <c r="AJ1" s="831"/>
      <c r="AK1" s="831"/>
      <c r="AL1" s="832"/>
      <c r="AM1" s="503"/>
      <c r="AN1" s="503" t="s">
        <v>7</v>
      </c>
      <c r="AO1" s="8"/>
    </row>
    <row r="2" spans="1:43" ht="24.9" customHeight="1">
      <c r="A2" s="833"/>
      <c r="B2" s="834"/>
      <c r="C2" s="834"/>
      <c r="D2" s="834"/>
      <c r="E2" s="834"/>
      <c r="F2" s="834"/>
      <c r="G2" s="834"/>
      <c r="H2" s="834"/>
      <c r="I2" s="834"/>
      <c r="J2" s="834"/>
      <c r="K2" s="834"/>
      <c r="L2" s="834"/>
      <c r="M2" s="834"/>
      <c r="N2" s="834"/>
      <c r="O2" s="834"/>
      <c r="P2" s="834"/>
      <c r="Q2" s="834"/>
      <c r="R2" s="834"/>
      <c r="S2" s="834"/>
      <c r="T2" s="834"/>
      <c r="U2" s="834"/>
      <c r="V2" s="834"/>
      <c r="W2" s="834"/>
      <c r="X2" s="834"/>
      <c r="Y2" s="834"/>
      <c r="Z2" s="834"/>
      <c r="AA2" s="834"/>
      <c r="AB2" s="834"/>
      <c r="AC2" s="834"/>
      <c r="AD2" s="834"/>
      <c r="AE2" s="834"/>
      <c r="AF2" s="834"/>
      <c r="AG2" s="834"/>
      <c r="AH2" s="834"/>
      <c r="AI2" s="834"/>
      <c r="AJ2" s="834"/>
      <c r="AK2" s="834"/>
      <c r="AL2" s="1291"/>
      <c r="AM2" s="12"/>
      <c r="AN2" s="12" t="s">
        <v>685</v>
      </c>
      <c r="AO2" s="13"/>
    </row>
    <row r="3" spans="1:43" s="67" customFormat="1" ht="36.9" customHeight="1">
      <c r="A3" s="867" t="s">
        <v>114</v>
      </c>
      <c r="B3" s="843"/>
      <c r="C3" s="843"/>
      <c r="D3" s="843"/>
      <c r="E3" s="843"/>
      <c r="F3" s="868"/>
      <c r="G3" s="869" t="s">
        <v>115</v>
      </c>
      <c r="H3" s="843"/>
      <c r="I3" s="843"/>
      <c r="J3" s="843"/>
      <c r="K3" s="843"/>
      <c r="L3" s="843"/>
      <c r="M3" s="843"/>
      <c r="N3" s="843"/>
      <c r="O3" s="843"/>
      <c r="P3" s="843"/>
      <c r="Q3" s="843"/>
      <c r="R3" s="843"/>
      <c r="S3" s="843"/>
      <c r="T3" s="868"/>
      <c r="U3" s="869" t="s">
        <v>116</v>
      </c>
      <c r="V3" s="843"/>
      <c r="W3" s="843"/>
      <c r="X3" s="843"/>
      <c r="Y3" s="843"/>
      <c r="Z3" s="843"/>
      <c r="AA3" s="843"/>
      <c r="AB3" s="843"/>
      <c r="AC3" s="868"/>
      <c r="AD3" s="867" t="s">
        <v>117</v>
      </c>
      <c r="AE3" s="843"/>
      <c r="AF3" s="843"/>
      <c r="AG3" s="843"/>
      <c r="AH3" s="843"/>
      <c r="AI3" s="843"/>
      <c r="AJ3" s="843"/>
      <c r="AK3" s="843"/>
      <c r="AL3" s="843"/>
      <c r="AM3" s="843"/>
      <c r="AN3" s="843"/>
      <c r="AO3" s="868"/>
      <c r="AP3" s="15"/>
      <c r="AQ3" s="15"/>
    </row>
    <row r="4" spans="1:43" ht="15" customHeight="1">
      <c r="A4" s="870" t="s">
        <v>686</v>
      </c>
      <c r="B4" s="871"/>
      <c r="C4" s="871"/>
      <c r="D4" s="871"/>
      <c r="E4" s="871"/>
      <c r="F4" s="871"/>
      <c r="G4" s="871"/>
      <c r="H4" s="871"/>
      <c r="I4" s="871"/>
      <c r="J4" s="871"/>
      <c r="K4" s="871"/>
      <c r="L4" s="871"/>
      <c r="M4" s="871"/>
      <c r="N4" s="871"/>
      <c r="O4" s="871"/>
      <c r="P4" s="871"/>
      <c r="Q4" s="871"/>
      <c r="R4" s="871"/>
      <c r="S4" s="871"/>
      <c r="T4" s="871"/>
      <c r="U4" s="871"/>
      <c r="V4" s="871"/>
      <c r="W4" s="871"/>
      <c r="X4" s="871"/>
      <c r="Y4" s="871"/>
      <c r="Z4" s="871"/>
      <c r="AA4" s="871"/>
      <c r="AB4" s="871"/>
      <c r="AC4" s="871"/>
      <c r="AD4" s="871"/>
      <c r="AE4" s="871"/>
      <c r="AF4" s="871"/>
      <c r="AG4" s="871"/>
      <c r="AH4" s="871"/>
      <c r="AI4" s="871"/>
      <c r="AJ4" s="871"/>
      <c r="AK4" s="871"/>
      <c r="AL4" s="871"/>
      <c r="AM4" s="871"/>
      <c r="AN4" s="871"/>
      <c r="AO4" s="968"/>
    </row>
    <row r="5" spans="1:43" ht="15" customHeight="1">
      <c r="A5" s="73" t="s">
        <v>106</v>
      </c>
      <c r="B5" s="18"/>
      <c r="C5" s="18"/>
      <c r="D5" s="18"/>
      <c r="E5" s="18"/>
      <c r="F5" s="72"/>
      <c r="S5" s="16"/>
      <c r="U5" s="73"/>
      <c r="AD5" s="1284"/>
      <c r="AE5" s="613"/>
      <c r="AF5" s="613"/>
      <c r="AG5" s="613"/>
      <c r="AH5" s="613"/>
      <c r="AI5" s="613"/>
      <c r="AJ5" s="613"/>
      <c r="AK5" s="613"/>
      <c r="AL5" s="613"/>
      <c r="AM5" s="613"/>
      <c r="AN5" s="613"/>
      <c r="AO5" s="1285"/>
    </row>
    <row r="6" spans="1:43" ht="15" customHeight="1">
      <c r="A6" s="73" t="s">
        <v>687</v>
      </c>
      <c r="B6" s="18"/>
      <c r="F6" s="72"/>
      <c r="G6" s="30" t="s">
        <v>688</v>
      </c>
      <c r="H6" s="146"/>
      <c r="I6" s="146"/>
      <c r="J6" s="93"/>
      <c r="K6" s="93"/>
      <c r="L6" s="146"/>
      <c r="M6" s="93"/>
      <c r="N6" s="92"/>
      <c r="O6" s="75"/>
      <c r="P6" s="75"/>
      <c r="Q6" s="93"/>
      <c r="R6" s="290"/>
      <c r="S6" s="290"/>
      <c r="T6" s="146"/>
      <c r="U6" s="68" t="s">
        <v>689</v>
      </c>
      <c r="AC6" s="18"/>
      <c r="AD6" s="623"/>
      <c r="AE6" s="616"/>
      <c r="AF6" s="616"/>
      <c r="AG6" s="616"/>
      <c r="AH6" s="616"/>
      <c r="AI6" s="616"/>
      <c r="AJ6" s="616"/>
      <c r="AK6" s="616"/>
      <c r="AL6" s="616"/>
      <c r="AM6" s="616"/>
      <c r="AN6" s="616"/>
      <c r="AO6" s="1286"/>
    </row>
    <row r="7" spans="1:43" ht="15" customHeight="1">
      <c r="A7" s="73"/>
      <c r="F7" s="72"/>
      <c r="G7" s="418" t="s">
        <v>690</v>
      </c>
      <c r="H7" s="534"/>
      <c r="I7" s="15" t="s">
        <v>30</v>
      </c>
      <c r="J7" s="149" t="s">
        <v>691</v>
      </c>
      <c r="K7" s="93"/>
      <c r="L7" s="93"/>
      <c r="M7" s="93"/>
      <c r="N7" s="93"/>
      <c r="O7" s="83"/>
      <c r="P7" s="83"/>
      <c r="Q7" s="93"/>
      <c r="R7" s="83"/>
      <c r="S7" s="290"/>
      <c r="T7" s="146"/>
      <c r="U7" s="418" t="s">
        <v>692</v>
      </c>
      <c r="V7" s="534"/>
      <c r="W7" s="237"/>
      <c r="X7" s="15" t="s">
        <v>30</v>
      </c>
      <c r="Y7" s="81"/>
      <c r="Z7" s="32"/>
      <c r="AA7" s="1289" t="str">
        <f>IF(Y9&gt;7.5,"**Unacceptable**","Acceptable")</f>
        <v>Acceptable</v>
      </c>
      <c r="AB7" s="1290"/>
      <c r="AC7" s="18"/>
      <c r="AD7" s="623"/>
      <c r="AE7" s="616"/>
      <c r="AF7" s="616"/>
      <c r="AG7" s="616"/>
      <c r="AH7" s="616"/>
      <c r="AI7" s="616"/>
      <c r="AJ7" s="616"/>
      <c r="AK7" s="616"/>
      <c r="AL7" s="616"/>
      <c r="AM7" s="616"/>
      <c r="AN7" s="616"/>
      <c r="AO7" s="1286"/>
    </row>
    <row r="8" spans="1:43" ht="15" customHeight="1">
      <c r="A8" s="73"/>
      <c r="F8" s="72"/>
      <c r="G8" s="528"/>
      <c r="H8" s="534"/>
      <c r="I8" s="93"/>
      <c r="J8" s="93"/>
      <c r="K8" s="15"/>
      <c r="L8" s="93"/>
      <c r="M8" s="93"/>
      <c r="N8" s="93"/>
      <c r="O8" s="83"/>
      <c r="P8" s="83"/>
      <c r="Q8" s="93"/>
      <c r="R8" s="83"/>
      <c r="S8" s="290"/>
      <c r="T8" s="146"/>
      <c r="U8" s="418" t="s">
        <v>693</v>
      </c>
      <c r="V8" s="204"/>
      <c r="X8" s="15" t="s">
        <v>30</v>
      </c>
      <c r="Y8" s="81"/>
      <c r="Z8" s="32"/>
      <c r="AC8" s="18"/>
      <c r="AD8" s="623"/>
      <c r="AE8" s="616"/>
      <c r="AF8" s="616"/>
      <c r="AG8" s="616"/>
      <c r="AH8" s="616"/>
      <c r="AI8" s="616"/>
      <c r="AJ8" s="616"/>
      <c r="AK8" s="616"/>
      <c r="AL8" s="616"/>
      <c r="AM8" s="616"/>
      <c r="AN8" s="616"/>
      <c r="AO8" s="1286"/>
    </row>
    <row r="9" spans="1:43" ht="15" customHeight="1">
      <c r="A9" s="73"/>
      <c r="F9" s="72"/>
      <c r="G9" s="535" t="s">
        <v>694</v>
      </c>
      <c r="H9" s="534"/>
      <c r="I9" s="93"/>
      <c r="J9" s="93"/>
      <c r="K9" s="15"/>
      <c r="L9" s="146"/>
      <c r="N9" s="93"/>
      <c r="O9" s="93"/>
      <c r="P9" s="93"/>
      <c r="Q9" s="93"/>
      <c r="R9" s="93"/>
      <c r="S9" s="146"/>
      <c r="T9" s="146"/>
      <c r="U9" s="418" t="s">
        <v>695</v>
      </c>
      <c r="V9" s="204"/>
      <c r="X9" s="15" t="s">
        <v>30</v>
      </c>
      <c r="Y9" s="81"/>
      <c r="Z9" s="32"/>
      <c r="AC9" s="18"/>
      <c r="AD9" s="623"/>
      <c r="AE9" s="616"/>
      <c r="AF9" s="616"/>
      <c r="AG9" s="616"/>
      <c r="AH9" s="616"/>
      <c r="AI9" s="616"/>
      <c r="AJ9" s="616"/>
      <c r="AK9" s="616"/>
      <c r="AL9" s="616"/>
      <c r="AM9" s="616"/>
      <c r="AN9" s="616"/>
      <c r="AO9" s="1286"/>
    </row>
    <row r="10" spans="1:43" ht="15" customHeight="1">
      <c r="A10" s="73"/>
      <c r="F10" s="72"/>
      <c r="G10" s="418" t="s">
        <v>690</v>
      </c>
      <c r="H10" s="534"/>
      <c r="I10" s="15" t="s">
        <v>30</v>
      </c>
      <c r="J10" s="32" t="s">
        <v>696</v>
      </c>
      <c r="K10" s="146"/>
      <c r="L10" s="393"/>
      <c r="N10" s="536"/>
      <c r="O10" s="93"/>
      <c r="P10" s="93"/>
      <c r="Q10" s="93"/>
      <c r="R10" s="536"/>
      <c r="S10" s="93"/>
      <c r="T10" s="146"/>
      <c r="U10" s="418" t="s">
        <v>697</v>
      </c>
      <c r="V10" s="204"/>
      <c r="X10" s="15" t="s">
        <v>30</v>
      </c>
      <c r="Y10" s="81"/>
      <c r="Z10" s="32"/>
      <c r="AC10" s="72"/>
      <c r="AD10" s="623"/>
      <c r="AE10" s="616"/>
      <c r="AF10" s="616"/>
      <c r="AG10" s="616"/>
      <c r="AH10" s="616"/>
      <c r="AI10" s="616"/>
      <c r="AJ10" s="616"/>
      <c r="AK10" s="616"/>
      <c r="AL10" s="616"/>
      <c r="AM10" s="616"/>
      <c r="AN10" s="616"/>
      <c r="AO10" s="1286"/>
    </row>
    <row r="11" spans="1:43" ht="15" customHeight="1">
      <c r="A11" s="73"/>
      <c r="G11" s="418"/>
      <c r="H11" s="237"/>
      <c r="I11" s="237"/>
      <c r="J11" s="237"/>
      <c r="K11" s="16"/>
      <c r="L11" s="93"/>
      <c r="M11" s="93"/>
      <c r="N11" s="92"/>
      <c r="O11" s="93"/>
      <c r="P11" s="93"/>
      <c r="Q11" s="93"/>
      <c r="R11" s="536"/>
      <c r="S11" s="93"/>
      <c r="T11" s="146"/>
      <c r="U11" s="418" t="s">
        <v>698</v>
      </c>
      <c r="V11" s="32"/>
      <c r="W11" s="134"/>
      <c r="X11" s="15" t="s">
        <v>30</v>
      </c>
      <c r="Y11" s="537"/>
      <c r="Z11" s="538"/>
      <c r="AA11" s="538"/>
      <c r="AB11" s="306"/>
      <c r="AC11" s="72"/>
      <c r="AD11" s="623"/>
      <c r="AE11" s="616"/>
      <c r="AF11" s="616"/>
      <c r="AG11" s="616"/>
      <c r="AH11" s="616"/>
      <c r="AI11" s="616"/>
      <c r="AJ11" s="616"/>
      <c r="AK11" s="616"/>
      <c r="AL11" s="616"/>
      <c r="AM11" s="616"/>
      <c r="AN11" s="616"/>
      <c r="AO11" s="1286"/>
    </row>
    <row r="12" spans="1:43" ht="15" customHeight="1">
      <c r="A12" s="73"/>
      <c r="G12" s="366"/>
      <c r="H12" s="305"/>
      <c r="I12" s="146"/>
      <c r="J12" s="146"/>
      <c r="K12" s="93"/>
      <c r="L12" s="93"/>
      <c r="M12" s="93"/>
      <c r="N12" s="92"/>
      <c r="O12" s="93"/>
      <c r="P12" s="93"/>
      <c r="Q12" s="93"/>
      <c r="R12" s="93"/>
      <c r="S12" s="93"/>
      <c r="T12" s="539"/>
      <c r="U12" s="366"/>
      <c r="V12" s="32"/>
      <c r="W12" s="77"/>
      <c r="X12" s="77"/>
      <c r="Y12" s="77"/>
      <c r="Z12" s="77"/>
      <c r="AA12" s="16"/>
      <c r="AB12" s="74"/>
      <c r="AC12" s="18"/>
      <c r="AD12" s="623"/>
      <c r="AE12" s="616"/>
      <c r="AF12" s="616"/>
      <c r="AG12" s="616"/>
      <c r="AH12" s="616"/>
      <c r="AI12" s="616"/>
      <c r="AJ12" s="616"/>
      <c r="AK12" s="616"/>
      <c r="AL12" s="616"/>
      <c r="AM12" s="616"/>
      <c r="AN12" s="616"/>
      <c r="AO12" s="1286"/>
    </row>
    <row r="13" spans="1:43" ht="15" customHeight="1">
      <c r="A13" s="118"/>
      <c r="B13" s="117"/>
      <c r="C13" s="117"/>
      <c r="D13" s="117"/>
      <c r="E13" s="117"/>
      <c r="F13" s="115"/>
      <c r="G13" s="540"/>
      <c r="H13" s="541"/>
      <c r="I13" s="541"/>
      <c r="J13" s="541"/>
      <c r="K13" s="541"/>
      <c r="L13" s="541"/>
      <c r="M13" s="541"/>
      <c r="N13" s="541"/>
      <c r="O13" s="542"/>
      <c r="P13" s="542"/>
      <c r="Q13" s="542"/>
      <c r="R13" s="542"/>
      <c r="S13" s="542"/>
      <c r="T13" s="543"/>
      <c r="U13" s="540"/>
      <c r="V13" s="509"/>
      <c r="W13" s="505"/>
      <c r="X13" s="505"/>
      <c r="Y13" s="505"/>
      <c r="Z13" s="505"/>
      <c r="AA13" s="505"/>
      <c r="AB13" s="505"/>
      <c r="AC13" s="114"/>
      <c r="AD13" s="623"/>
      <c r="AE13" s="616"/>
      <c r="AF13" s="616"/>
      <c r="AG13" s="616"/>
      <c r="AH13" s="616"/>
      <c r="AI13" s="616"/>
      <c r="AJ13" s="616"/>
      <c r="AK13" s="616"/>
      <c r="AL13" s="616"/>
      <c r="AM13" s="616"/>
      <c r="AN13" s="616"/>
      <c r="AO13" s="1286"/>
    </row>
    <row r="14" spans="1:43" ht="15" customHeight="1">
      <c r="A14" s="73" t="s">
        <v>699</v>
      </c>
      <c r="G14" s="68" t="s">
        <v>688</v>
      </c>
      <c r="H14" s="93"/>
      <c r="I14" s="93"/>
      <c r="J14" s="93"/>
      <c r="K14" s="93"/>
      <c r="L14" s="93"/>
      <c r="M14" s="93"/>
      <c r="N14" s="93"/>
      <c r="O14" s="97"/>
      <c r="P14" s="97"/>
      <c r="Q14" s="97"/>
      <c r="R14" s="97"/>
      <c r="S14" s="97"/>
      <c r="T14" s="539"/>
      <c r="U14" s="68" t="s">
        <v>689</v>
      </c>
      <c r="AA14" s="77"/>
      <c r="AB14" s="77"/>
      <c r="AC14" s="18"/>
      <c r="AD14" s="623"/>
      <c r="AE14" s="616"/>
      <c r="AF14" s="616"/>
      <c r="AG14" s="616"/>
      <c r="AH14" s="616"/>
      <c r="AI14" s="616"/>
      <c r="AJ14" s="616"/>
      <c r="AK14" s="616"/>
      <c r="AL14" s="616"/>
      <c r="AM14" s="616"/>
      <c r="AN14" s="616"/>
      <c r="AO14" s="1286"/>
    </row>
    <row r="15" spans="1:43" ht="15" customHeight="1">
      <c r="A15" s="73"/>
      <c r="G15" s="418" t="s">
        <v>690</v>
      </c>
      <c r="H15" s="93"/>
      <c r="I15" s="15" t="s">
        <v>30</v>
      </c>
      <c r="J15" s="149" t="s">
        <v>691</v>
      </c>
      <c r="K15" s="15"/>
      <c r="L15" s="93"/>
      <c r="M15" s="93"/>
      <c r="N15" s="93"/>
      <c r="O15" s="97"/>
      <c r="P15" s="97"/>
      <c r="Q15" s="97"/>
      <c r="R15" s="97"/>
      <c r="S15" s="97"/>
      <c r="T15" s="539"/>
      <c r="U15" s="418" t="s">
        <v>692</v>
      </c>
      <c r="V15" s="534"/>
      <c r="W15" s="237"/>
      <c r="X15" s="15" t="s">
        <v>30</v>
      </c>
      <c r="Y15" s="81"/>
      <c r="Z15" s="32"/>
      <c r="AA15" s="1289" t="str">
        <f>IF(Y17&gt;7.5,"**Unacceptable**","Acceptable")</f>
        <v>Acceptable</v>
      </c>
      <c r="AB15" s="1290"/>
      <c r="AC15" s="18"/>
      <c r="AD15" s="623"/>
      <c r="AE15" s="616"/>
      <c r="AF15" s="616"/>
      <c r="AG15" s="616"/>
      <c r="AH15" s="616"/>
      <c r="AI15" s="616"/>
      <c r="AJ15" s="616"/>
      <c r="AK15" s="616"/>
      <c r="AL15" s="616"/>
      <c r="AM15" s="616"/>
      <c r="AN15" s="616"/>
      <c r="AO15" s="1286"/>
    </row>
    <row r="16" spans="1:43" ht="15" customHeight="1">
      <c r="A16" s="73"/>
      <c r="G16" s="544"/>
      <c r="H16" s="97"/>
      <c r="I16" s="97"/>
      <c r="J16" s="97"/>
      <c r="K16" s="97"/>
      <c r="L16" s="97"/>
      <c r="M16" s="97"/>
      <c r="N16" s="97"/>
      <c r="O16" s="97"/>
      <c r="P16" s="97"/>
      <c r="Q16" s="97"/>
      <c r="R16" s="97"/>
      <c r="S16" s="97"/>
      <c r="T16" s="539"/>
      <c r="U16" s="418" t="s">
        <v>693</v>
      </c>
      <c r="V16" s="204"/>
      <c r="X16" s="15" t="s">
        <v>30</v>
      </c>
      <c r="Y16" s="81"/>
      <c r="Z16" s="32"/>
      <c r="AA16" s="16"/>
      <c r="AB16" s="131"/>
      <c r="AC16" s="72"/>
      <c r="AD16" s="623"/>
      <c r="AE16" s="616"/>
      <c r="AF16" s="616"/>
      <c r="AG16" s="616"/>
      <c r="AH16" s="616"/>
      <c r="AI16" s="616"/>
      <c r="AJ16" s="616"/>
      <c r="AK16" s="616"/>
      <c r="AL16" s="616"/>
      <c r="AM16" s="616"/>
      <c r="AN16" s="616"/>
      <c r="AO16" s="1286"/>
    </row>
    <row r="17" spans="1:41" ht="15" customHeight="1">
      <c r="A17" s="73"/>
      <c r="G17" s="514" t="s">
        <v>694</v>
      </c>
      <c r="H17" s="93"/>
      <c r="I17" s="93"/>
      <c r="J17" s="93"/>
      <c r="K17" s="93"/>
      <c r="L17" s="93"/>
      <c r="M17" s="93"/>
      <c r="N17" s="93"/>
      <c r="O17" s="93"/>
      <c r="P17" s="93"/>
      <c r="Q17" s="93"/>
      <c r="R17" s="93"/>
      <c r="S17" s="93"/>
      <c r="T17" s="539"/>
      <c r="U17" s="418" t="s">
        <v>695</v>
      </c>
      <c r="V17" s="204"/>
      <c r="X17" s="15" t="s">
        <v>30</v>
      </c>
      <c r="Y17" s="81"/>
      <c r="Z17" s="32"/>
      <c r="AB17" s="350"/>
      <c r="AC17" s="72"/>
      <c r="AD17" s="623"/>
      <c r="AE17" s="616"/>
      <c r="AF17" s="616"/>
      <c r="AG17" s="616"/>
      <c r="AH17" s="616"/>
      <c r="AI17" s="616"/>
      <c r="AJ17" s="616"/>
      <c r="AK17" s="616"/>
      <c r="AL17" s="616"/>
      <c r="AM17" s="616"/>
      <c r="AN17" s="616"/>
      <c r="AO17" s="1286"/>
    </row>
    <row r="18" spans="1:41" ht="15" customHeight="1">
      <c r="A18" s="73"/>
      <c r="G18" s="418" t="s">
        <v>690</v>
      </c>
      <c r="H18" s="534"/>
      <c r="I18" s="15" t="s">
        <v>30</v>
      </c>
      <c r="J18" s="32" t="s">
        <v>696</v>
      </c>
      <c r="K18" s="15"/>
      <c r="L18" s="93"/>
      <c r="M18" s="93"/>
      <c r="N18" s="93"/>
      <c r="O18" s="93"/>
      <c r="P18" s="93"/>
      <c r="Q18" s="93"/>
      <c r="R18" s="93"/>
      <c r="S18" s="93"/>
      <c r="T18" s="539"/>
      <c r="U18" s="418" t="s">
        <v>697</v>
      </c>
      <c r="V18" s="204"/>
      <c r="X18" s="15" t="s">
        <v>30</v>
      </c>
      <c r="Y18" s="81"/>
      <c r="Z18" s="32"/>
      <c r="AA18" s="93"/>
      <c r="AB18" s="93"/>
      <c r="AC18" s="18"/>
      <c r="AD18" s="623"/>
      <c r="AE18" s="616"/>
      <c r="AF18" s="616"/>
      <c r="AG18" s="616"/>
      <c r="AH18" s="616"/>
      <c r="AI18" s="616"/>
      <c r="AJ18" s="616"/>
      <c r="AK18" s="616"/>
      <c r="AL18" s="616"/>
      <c r="AM18" s="616"/>
      <c r="AN18" s="616"/>
      <c r="AO18" s="1286"/>
    </row>
    <row r="19" spans="1:41" ht="15" customHeight="1">
      <c r="A19" s="73"/>
      <c r="G19" s="418"/>
      <c r="H19" s="305"/>
      <c r="I19" s="237"/>
      <c r="J19" s="237"/>
      <c r="K19" s="15"/>
      <c r="L19" s="93"/>
      <c r="M19" s="93"/>
      <c r="N19" s="93"/>
      <c r="O19" s="93"/>
      <c r="P19" s="93"/>
      <c r="Q19" s="93"/>
      <c r="R19" s="93"/>
      <c r="S19" s="93"/>
      <c r="T19" s="539"/>
      <c r="U19" s="418" t="s">
        <v>698</v>
      </c>
      <c r="V19" s="32"/>
      <c r="W19" s="134"/>
      <c r="X19" s="15" t="s">
        <v>30</v>
      </c>
      <c r="Y19" s="537"/>
      <c r="Z19" s="538"/>
      <c r="AA19" s="93"/>
      <c r="AB19" s="93"/>
      <c r="AC19" s="18"/>
      <c r="AD19" s="623"/>
      <c r="AE19" s="616"/>
      <c r="AF19" s="616"/>
      <c r="AG19" s="616"/>
      <c r="AH19" s="616"/>
      <c r="AI19" s="616"/>
      <c r="AJ19" s="616"/>
      <c r="AK19" s="616"/>
      <c r="AL19" s="616"/>
      <c r="AM19" s="616"/>
      <c r="AN19" s="616"/>
      <c r="AO19" s="1286"/>
    </row>
    <row r="20" spans="1:41" ht="15" customHeight="1">
      <c r="A20" s="73"/>
      <c r="G20" s="418"/>
      <c r="H20" s="93"/>
      <c r="I20" s="15"/>
      <c r="J20" s="15"/>
      <c r="K20" s="15"/>
      <c r="L20" s="146"/>
      <c r="M20" s="93"/>
      <c r="N20" s="93"/>
      <c r="O20" s="93"/>
      <c r="P20" s="93"/>
      <c r="Q20" s="93"/>
      <c r="R20" s="93"/>
      <c r="S20" s="93"/>
      <c r="T20" s="539"/>
      <c r="U20" s="418"/>
      <c r="V20" s="93"/>
      <c r="W20" s="15"/>
      <c r="X20" s="15"/>
      <c r="Z20" s="80"/>
      <c r="AA20" s="93"/>
      <c r="AB20" s="93"/>
      <c r="AC20" s="18"/>
      <c r="AD20" s="623"/>
      <c r="AE20" s="616"/>
      <c r="AF20" s="616"/>
      <c r="AG20" s="616"/>
      <c r="AH20" s="616"/>
      <c r="AI20" s="616"/>
      <c r="AJ20" s="616"/>
      <c r="AK20" s="616"/>
      <c r="AL20" s="616"/>
      <c r="AM20" s="616"/>
      <c r="AN20" s="616"/>
      <c r="AO20" s="1286"/>
    </row>
    <row r="21" spans="1:41" ht="15" customHeight="1">
      <c r="A21" s="118"/>
      <c r="B21" s="117"/>
      <c r="C21" s="117"/>
      <c r="D21" s="117"/>
      <c r="E21" s="117"/>
      <c r="F21" s="115"/>
      <c r="G21" s="545"/>
      <c r="H21" s="541"/>
      <c r="I21" s="117"/>
      <c r="J21" s="117"/>
      <c r="K21" s="117"/>
      <c r="L21" s="546"/>
      <c r="M21" s="541"/>
      <c r="N21" s="541"/>
      <c r="O21" s="541"/>
      <c r="P21" s="541"/>
      <c r="Q21" s="541"/>
      <c r="R21" s="541"/>
      <c r="S21" s="541"/>
      <c r="T21" s="543"/>
      <c r="U21" s="545"/>
      <c r="V21" s="547"/>
      <c r="W21" s="117"/>
      <c r="X21" s="117"/>
      <c r="Y21" s="115"/>
      <c r="Z21" s="546"/>
      <c r="AA21" s="541"/>
      <c r="AB21" s="541"/>
      <c r="AC21" s="114"/>
      <c r="AD21" s="623"/>
      <c r="AE21" s="616"/>
      <c r="AF21" s="616"/>
      <c r="AG21" s="616"/>
      <c r="AH21" s="616"/>
      <c r="AI21" s="616"/>
      <c r="AJ21" s="616"/>
      <c r="AK21" s="616"/>
      <c r="AL21" s="616"/>
      <c r="AM21" s="616"/>
      <c r="AN21" s="616"/>
      <c r="AO21" s="1286"/>
    </row>
    <row r="22" spans="1:41" ht="15" customHeight="1">
      <c r="A22" s="73" t="s">
        <v>700</v>
      </c>
      <c r="G22" s="68" t="s">
        <v>688</v>
      </c>
      <c r="H22" s="237"/>
      <c r="I22" s="237"/>
      <c r="J22" s="15"/>
      <c r="K22" s="15"/>
      <c r="L22" s="93"/>
      <c r="M22" s="93"/>
      <c r="N22" s="93"/>
      <c r="O22" s="93"/>
      <c r="P22" s="93"/>
      <c r="Q22" s="93"/>
      <c r="R22" s="93"/>
      <c r="S22" s="93"/>
      <c r="T22" s="539"/>
      <c r="U22" s="68" t="s">
        <v>689</v>
      </c>
      <c r="V22" s="32"/>
      <c r="W22" s="237"/>
      <c r="X22" s="15"/>
      <c r="Z22" s="93"/>
      <c r="AA22" s="93"/>
      <c r="AB22" s="93"/>
      <c r="AC22" s="18"/>
      <c r="AD22" s="623"/>
      <c r="AE22" s="616"/>
      <c r="AF22" s="616"/>
      <c r="AG22" s="616"/>
      <c r="AH22" s="616"/>
      <c r="AI22" s="616"/>
      <c r="AJ22" s="616"/>
      <c r="AK22" s="616"/>
      <c r="AL22" s="616"/>
      <c r="AM22" s="616"/>
      <c r="AN22" s="616"/>
      <c r="AO22" s="1286"/>
    </row>
    <row r="23" spans="1:41" ht="15" customHeight="1">
      <c r="A23" s="73"/>
      <c r="G23" s="418" t="s">
        <v>690</v>
      </c>
      <c r="H23" s="305"/>
      <c r="I23" s="15" t="s">
        <v>30</v>
      </c>
      <c r="J23" s="32" t="s">
        <v>701</v>
      </c>
      <c r="K23" s="15"/>
      <c r="L23" s="93"/>
      <c r="M23" s="93"/>
      <c r="N23" s="93"/>
      <c r="O23" s="93"/>
      <c r="P23" s="93"/>
      <c r="Q23" s="93"/>
      <c r="R23" s="146"/>
      <c r="S23" s="93"/>
      <c r="T23" s="539"/>
      <c r="U23" s="418" t="s">
        <v>702</v>
      </c>
      <c r="V23" s="32"/>
      <c r="W23" s="393"/>
      <c r="X23" s="15"/>
      <c r="Y23" s="81"/>
      <c r="Z23" s="204"/>
      <c r="AA23" s="1289" t="str">
        <f>IF(OR(Y24&gt;0.2,Y25&gt;1.5),"**Unacceptable**","Acceptable")</f>
        <v>Acceptable</v>
      </c>
      <c r="AB23" s="1290"/>
      <c r="AC23" s="18"/>
      <c r="AD23" s="623"/>
      <c r="AE23" s="616"/>
      <c r="AF23" s="616"/>
      <c r="AG23" s="616"/>
      <c r="AH23" s="616"/>
      <c r="AI23" s="616"/>
      <c r="AJ23" s="616"/>
      <c r="AK23" s="616"/>
      <c r="AL23" s="616"/>
      <c r="AM23" s="616"/>
      <c r="AN23" s="616"/>
      <c r="AO23" s="1286"/>
    </row>
    <row r="24" spans="1:41" ht="15" customHeight="1">
      <c r="A24" s="73"/>
      <c r="G24" s="366"/>
      <c r="H24" s="93"/>
      <c r="I24" s="15" t="s">
        <v>30</v>
      </c>
      <c r="J24" s="32" t="s">
        <v>703</v>
      </c>
      <c r="K24" s="93"/>
      <c r="L24" s="93"/>
      <c r="M24" s="93"/>
      <c r="N24" s="93"/>
      <c r="O24" s="97"/>
      <c r="P24" s="97"/>
      <c r="Q24" s="97"/>
      <c r="R24" s="97"/>
      <c r="S24" s="97"/>
      <c r="T24" s="539"/>
      <c r="V24" s="16"/>
      <c r="W24" s="15"/>
      <c r="X24" s="15" t="s">
        <v>30</v>
      </c>
      <c r="Y24" s="81"/>
      <c r="Z24" s="204" t="s">
        <v>704</v>
      </c>
      <c r="AA24" s="93"/>
      <c r="AB24" s="93"/>
      <c r="AC24" s="18"/>
      <c r="AD24" s="623"/>
      <c r="AE24" s="616"/>
      <c r="AF24" s="616"/>
      <c r="AG24" s="616"/>
      <c r="AH24" s="616"/>
      <c r="AI24" s="616"/>
      <c r="AJ24" s="616"/>
      <c r="AK24" s="616"/>
      <c r="AL24" s="616"/>
      <c r="AM24" s="616"/>
      <c r="AN24" s="616"/>
      <c r="AO24" s="1286"/>
    </row>
    <row r="25" spans="1:41" ht="15" customHeight="1">
      <c r="A25" s="73"/>
      <c r="G25" s="366"/>
      <c r="H25" s="93"/>
      <c r="I25" s="93"/>
      <c r="J25" s="77"/>
      <c r="K25" s="77"/>
      <c r="L25" s="77"/>
      <c r="M25" s="77"/>
      <c r="N25" s="77"/>
      <c r="O25" s="96"/>
      <c r="P25" s="96"/>
      <c r="Q25" s="96"/>
      <c r="R25" s="96"/>
      <c r="S25" s="96"/>
      <c r="T25" s="21"/>
      <c r="U25" s="366"/>
      <c r="V25" s="93"/>
      <c r="W25" s="93"/>
      <c r="X25" s="15" t="s">
        <v>30</v>
      </c>
      <c r="Y25" s="81"/>
      <c r="Z25" s="32" t="s">
        <v>705</v>
      </c>
      <c r="AA25" s="77"/>
      <c r="AB25" s="77"/>
      <c r="AC25" s="18"/>
      <c r="AD25" s="623"/>
      <c r="AE25" s="616"/>
      <c r="AF25" s="616"/>
      <c r="AG25" s="616"/>
      <c r="AH25" s="616"/>
      <c r="AI25" s="616"/>
      <c r="AJ25" s="616"/>
      <c r="AK25" s="616"/>
      <c r="AL25" s="616"/>
      <c r="AM25" s="616"/>
      <c r="AN25" s="616"/>
      <c r="AO25" s="1286"/>
    </row>
    <row r="26" spans="1:41" ht="15" customHeight="1">
      <c r="A26" s="73"/>
      <c r="G26" s="514" t="s">
        <v>694</v>
      </c>
      <c r="H26" s="77"/>
      <c r="I26" s="77"/>
      <c r="J26" s="77"/>
      <c r="K26" s="77"/>
      <c r="L26" s="77"/>
      <c r="M26" s="77"/>
      <c r="N26" s="77"/>
      <c r="O26" s="96"/>
      <c r="P26" s="96"/>
      <c r="Q26" s="96"/>
      <c r="R26" s="96"/>
      <c r="S26" s="96"/>
      <c r="T26" s="21"/>
      <c r="U26" s="418" t="s">
        <v>706</v>
      </c>
      <c r="V26" s="204"/>
      <c r="X26" s="15" t="s">
        <v>30</v>
      </c>
      <c r="Y26" s="81"/>
      <c r="AA26" s="548"/>
      <c r="AB26" s="15"/>
      <c r="AC26" s="18"/>
      <c r="AD26" s="623"/>
      <c r="AE26" s="616"/>
      <c r="AF26" s="616"/>
      <c r="AG26" s="616"/>
      <c r="AH26" s="616"/>
      <c r="AI26" s="616"/>
      <c r="AJ26" s="616"/>
      <c r="AK26" s="616"/>
      <c r="AL26" s="616"/>
      <c r="AM26" s="616"/>
      <c r="AN26" s="616"/>
      <c r="AO26" s="1286"/>
    </row>
    <row r="27" spans="1:41" ht="15" customHeight="1">
      <c r="A27" s="73"/>
      <c r="G27" s="418" t="s">
        <v>690</v>
      </c>
      <c r="H27" s="77"/>
      <c r="I27" s="15" t="s">
        <v>30</v>
      </c>
      <c r="J27" s="32" t="s">
        <v>696</v>
      </c>
      <c r="K27" s="77"/>
      <c r="L27" s="77"/>
      <c r="M27" s="77"/>
      <c r="N27" s="77"/>
      <c r="O27" s="96"/>
      <c r="P27" s="96"/>
      <c r="Q27" s="96"/>
      <c r="R27" s="96"/>
      <c r="S27" s="96"/>
      <c r="T27" s="21"/>
      <c r="U27" s="418" t="s">
        <v>707</v>
      </c>
      <c r="V27" s="32"/>
      <c r="W27" s="134"/>
      <c r="X27" s="15" t="s">
        <v>30</v>
      </c>
      <c r="Y27" s="537"/>
      <c r="Z27" s="538"/>
      <c r="AA27" s="548"/>
      <c r="AB27" s="15"/>
      <c r="AC27" s="72"/>
      <c r="AD27" s="623"/>
      <c r="AE27" s="616"/>
      <c r="AF27" s="616"/>
      <c r="AG27" s="616"/>
      <c r="AH27" s="616"/>
      <c r="AI27" s="616"/>
      <c r="AJ27" s="616"/>
      <c r="AK27" s="616"/>
      <c r="AL27" s="616"/>
      <c r="AM27" s="616"/>
      <c r="AN27" s="616"/>
      <c r="AO27" s="1286"/>
    </row>
    <row r="28" spans="1:41" ht="15" customHeight="1">
      <c r="A28" s="73"/>
      <c r="G28" s="524"/>
      <c r="H28" s="77"/>
      <c r="I28" s="15"/>
      <c r="J28" s="146"/>
      <c r="K28" s="77"/>
      <c r="L28" s="77"/>
      <c r="M28" s="77"/>
      <c r="N28" s="77"/>
      <c r="O28" s="96"/>
      <c r="P28" s="96"/>
      <c r="Q28" s="96"/>
      <c r="R28" s="96"/>
      <c r="S28" s="96"/>
      <c r="T28" s="21"/>
      <c r="U28" s="418"/>
      <c r="V28" s="32"/>
      <c r="W28" s="134"/>
      <c r="X28" s="15"/>
      <c r="Y28" s="549"/>
      <c r="AA28" s="548"/>
      <c r="AB28" s="15"/>
      <c r="AC28" s="72"/>
      <c r="AD28" s="623"/>
      <c r="AE28" s="616"/>
      <c r="AF28" s="616"/>
      <c r="AG28" s="616"/>
      <c r="AH28" s="616"/>
      <c r="AI28" s="616"/>
      <c r="AJ28" s="616"/>
      <c r="AK28" s="616"/>
      <c r="AL28" s="616"/>
      <c r="AM28" s="616"/>
      <c r="AN28" s="616"/>
      <c r="AO28" s="1286"/>
    </row>
    <row r="29" spans="1:41" ht="15" customHeight="1">
      <c r="A29" s="73"/>
      <c r="G29" s="68"/>
      <c r="H29" s="77"/>
      <c r="I29" s="77"/>
      <c r="J29" s="77"/>
      <c r="K29" s="77"/>
      <c r="L29" s="77"/>
      <c r="M29" s="77"/>
      <c r="N29" s="77"/>
      <c r="O29" s="96"/>
      <c r="P29" s="96"/>
      <c r="Q29" s="96"/>
      <c r="R29" s="96"/>
      <c r="S29" s="96"/>
      <c r="T29" s="21"/>
      <c r="U29" s="68"/>
      <c r="V29" s="77"/>
      <c r="AA29" s="548"/>
      <c r="AB29" s="15"/>
      <c r="AC29" s="72"/>
      <c r="AD29" s="623"/>
      <c r="AE29" s="616"/>
      <c r="AF29" s="616"/>
      <c r="AG29" s="616"/>
      <c r="AH29" s="616"/>
      <c r="AI29" s="616"/>
      <c r="AJ29" s="616"/>
      <c r="AK29" s="616"/>
      <c r="AL29" s="616"/>
      <c r="AM29" s="616"/>
      <c r="AN29" s="616"/>
      <c r="AO29" s="1286"/>
    </row>
    <row r="30" spans="1:41" ht="15" customHeight="1">
      <c r="A30" s="118"/>
      <c r="B30" s="117"/>
      <c r="C30" s="117"/>
      <c r="D30" s="117"/>
      <c r="E30" s="117"/>
      <c r="F30" s="115"/>
      <c r="G30" s="545"/>
      <c r="H30" s="505"/>
      <c r="I30" s="505"/>
      <c r="J30" s="505"/>
      <c r="K30" s="117"/>
      <c r="L30" s="541"/>
      <c r="M30" s="505"/>
      <c r="N30" s="505"/>
      <c r="O30" s="373"/>
      <c r="P30" s="373"/>
      <c r="Q30" s="373"/>
      <c r="R30" s="373"/>
      <c r="S30" s="373"/>
      <c r="T30" s="122"/>
      <c r="U30" s="545"/>
      <c r="V30" s="505"/>
      <c r="W30" s="115"/>
      <c r="X30" s="115"/>
      <c r="Y30" s="115"/>
      <c r="Z30" s="509"/>
      <c r="AA30" s="550"/>
      <c r="AB30" s="117"/>
      <c r="AC30" s="114"/>
      <c r="AD30" s="623"/>
      <c r="AE30" s="616"/>
      <c r="AF30" s="616"/>
      <c r="AG30" s="616"/>
      <c r="AH30" s="616"/>
      <c r="AI30" s="616"/>
      <c r="AJ30" s="616"/>
      <c r="AK30" s="616"/>
      <c r="AL30" s="616"/>
      <c r="AM30" s="616"/>
      <c r="AN30" s="616"/>
      <c r="AO30" s="1286"/>
    </row>
    <row r="31" spans="1:41" ht="15" customHeight="1">
      <c r="A31" s="73" t="s">
        <v>708</v>
      </c>
      <c r="G31" s="68" t="s">
        <v>688</v>
      </c>
      <c r="H31" s="77"/>
      <c r="I31" s="77"/>
      <c r="J31" s="77"/>
      <c r="K31" s="15"/>
      <c r="L31" s="93"/>
      <c r="M31" s="77"/>
      <c r="N31" s="77"/>
      <c r="O31" s="96"/>
      <c r="P31" s="96"/>
      <c r="Q31" s="96"/>
      <c r="R31" s="96"/>
      <c r="S31" s="96"/>
      <c r="T31" s="21"/>
      <c r="U31" s="68" t="s">
        <v>689</v>
      </c>
      <c r="V31" s="77"/>
      <c r="Z31" s="32"/>
      <c r="AA31" s="548"/>
      <c r="AB31" s="15"/>
      <c r="AC31" s="72"/>
      <c r="AD31" s="623"/>
      <c r="AE31" s="616"/>
      <c r="AF31" s="616"/>
      <c r="AG31" s="616"/>
      <c r="AH31" s="616"/>
      <c r="AI31" s="616"/>
      <c r="AJ31" s="616"/>
      <c r="AK31" s="616"/>
      <c r="AL31" s="616"/>
      <c r="AM31" s="616"/>
      <c r="AN31" s="616"/>
      <c r="AO31" s="1286"/>
    </row>
    <row r="32" spans="1:41" ht="15" customHeight="1">
      <c r="A32" s="73"/>
      <c r="G32" s="418" t="s">
        <v>690</v>
      </c>
      <c r="H32" s="96"/>
      <c r="I32" s="15" t="s">
        <v>30</v>
      </c>
      <c r="J32" s="32" t="s">
        <v>709</v>
      </c>
      <c r="K32" s="15"/>
      <c r="L32" s="96"/>
      <c r="M32" s="96"/>
      <c r="N32" s="96"/>
      <c r="O32" s="96"/>
      <c r="P32" s="96"/>
      <c r="Q32" s="96"/>
      <c r="R32" s="96"/>
      <c r="S32" s="96"/>
      <c r="T32" s="21"/>
      <c r="U32" s="418" t="s">
        <v>710</v>
      </c>
      <c r="V32" s="32"/>
      <c r="W32" s="146"/>
      <c r="X32" s="15" t="s">
        <v>30</v>
      </c>
      <c r="Y32" s="81"/>
      <c r="AA32" s="1289" t="str">
        <f>IF(Y32&gt;1,"**Unacceptable**","Acceptable")</f>
        <v>Acceptable</v>
      </c>
      <c r="AB32" s="1290"/>
      <c r="AC32" s="72"/>
      <c r="AD32" s="623"/>
      <c r="AE32" s="616"/>
      <c r="AF32" s="616"/>
      <c r="AG32" s="616"/>
      <c r="AH32" s="616"/>
      <c r="AI32" s="616"/>
      <c r="AJ32" s="616"/>
      <c r="AK32" s="616"/>
      <c r="AL32" s="616"/>
      <c r="AM32" s="616"/>
      <c r="AN32" s="616"/>
      <c r="AO32" s="1286"/>
    </row>
    <row r="33" spans="1:41" ht="15" customHeight="1">
      <c r="A33" s="73"/>
      <c r="F33" s="72"/>
      <c r="G33" s="73"/>
      <c r="J33" s="32" t="s">
        <v>711</v>
      </c>
      <c r="U33" s="418" t="s">
        <v>706</v>
      </c>
      <c r="V33" s="204"/>
      <c r="X33" s="15" t="s">
        <v>30</v>
      </c>
      <c r="Y33" s="81"/>
      <c r="AC33" s="21"/>
      <c r="AD33" s="623"/>
      <c r="AE33" s="616"/>
      <c r="AF33" s="616"/>
      <c r="AG33" s="616"/>
      <c r="AH33" s="616"/>
      <c r="AI33" s="616"/>
      <c r="AJ33" s="616"/>
      <c r="AK33" s="616"/>
      <c r="AL33" s="616"/>
      <c r="AM33" s="616"/>
      <c r="AN33" s="616"/>
      <c r="AO33" s="1286"/>
    </row>
    <row r="34" spans="1:41" ht="15" customHeight="1">
      <c r="A34" s="73"/>
      <c r="F34" s="72"/>
      <c r="G34" s="73"/>
      <c r="J34" s="93"/>
      <c r="K34" s="15"/>
      <c r="L34" s="534"/>
      <c r="M34" s="534"/>
      <c r="N34" s="534"/>
      <c r="O34" s="534"/>
      <c r="P34" s="534"/>
      <c r="Q34" s="534"/>
      <c r="R34" s="534"/>
      <c r="S34" s="534"/>
      <c r="U34" s="418" t="s">
        <v>707</v>
      </c>
      <c r="V34" s="32"/>
      <c r="W34" s="134"/>
      <c r="X34" s="15" t="s">
        <v>30</v>
      </c>
      <c r="Y34" s="551"/>
      <c r="Z34" s="538"/>
      <c r="AC34" s="21"/>
      <c r="AD34" s="623"/>
      <c r="AE34" s="616"/>
      <c r="AF34" s="616"/>
      <c r="AG34" s="616"/>
      <c r="AH34" s="616"/>
      <c r="AI34" s="616"/>
      <c r="AJ34" s="616"/>
      <c r="AK34" s="616"/>
      <c r="AL34" s="616"/>
      <c r="AM34" s="616"/>
      <c r="AN34" s="616"/>
      <c r="AO34" s="1286"/>
    </row>
    <row r="35" spans="1:41" ht="15" customHeight="1">
      <c r="A35" s="73"/>
      <c r="F35" s="72"/>
      <c r="G35" s="514" t="s">
        <v>694</v>
      </c>
      <c r="H35" s="93"/>
      <c r="K35" s="15"/>
      <c r="L35" s="93"/>
      <c r="U35" s="524"/>
      <c r="V35" s="32"/>
      <c r="AD35" s="623"/>
      <c r="AE35" s="616"/>
      <c r="AF35" s="616"/>
      <c r="AG35" s="616"/>
      <c r="AH35" s="616"/>
      <c r="AI35" s="616"/>
      <c r="AJ35" s="616"/>
      <c r="AK35" s="616"/>
      <c r="AL35" s="616"/>
      <c r="AM35" s="616"/>
      <c r="AN35" s="616"/>
      <c r="AO35" s="1286"/>
    </row>
    <row r="36" spans="1:41" ht="15" customHeight="1">
      <c r="A36" s="73"/>
      <c r="F36" s="72"/>
      <c r="G36" s="418" t="s">
        <v>690</v>
      </c>
      <c r="H36" s="93"/>
      <c r="I36" s="15" t="s">
        <v>30</v>
      </c>
      <c r="J36" s="32" t="s">
        <v>712</v>
      </c>
      <c r="U36" s="524"/>
      <c r="V36" s="204"/>
      <c r="AD36" s="623"/>
      <c r="AE36" s="616"/>
      <c r="AF36" s="616"/>
      <c r="AG36" s="616"/>
      <c r="AH36" s="616"/>
      <c r="AI36" s="616"/>
      <c r="AJ36" s="616"/>
      <c r="AK36" s="616"/>
      <c r="AL36" s="616"/>
      <c r="AM36" s="616"/>
      <c r="AN36" s="616"/>
      <c r="AO36" s="1286"/>
    </row>
    <row r="37" spans="1:41" ht="15" customHeight="1">
      <c r="A37" s="552"/>
      <c r="B37" s="518"/>
      <c r="C37" s="518"/>
      <c r="D37" s="518"/>
      <c r="E37" s="518"/>
      <c r="F37" s="553"/>
      <c r="G37" s="554"/>
      <c r="H37" s="555"/>
      <c r="I37" s="518"/>
      <c r="J37" s="556"/>
      <c r="K37" s="557"/>
      <c r="L37" s="557"/>
      <c r="M37" s="557"/>
      <c r="N37" s="557"/>
      <c r="O37" s="557"/>
      <c r="P37" s="557"/>
      <c r="Q37" s="557"/>
      <c r="R37" s="557"/>
      <c r="S37" s="557"/>
      <c r="T37" s="518"/>
      <c r="U37" s="558"/>
      <c r="V37" s="559"/>
      <c r="W37" s="557"/>
      <c r="X37" s="557"/>
      <c r="Y37" s="557"/>
      <c r="Z37" s="557"/>
      <c r="AA37" s="557"/>
      <c r="AB37" s="557"/>
      <c r="AC37" s="519"/>
      <c r="AD37" s="1287"/>
      <c r="AE37" s="619"/>
      <c r="AF37" s="619"/>
      <c r="AG37" s="619"/>
      <c r="AH37" s="619"/>
      <c r="AI37" s="619"/>
      <c r="AJ37" s="619"/>
      <c r="AK37" s="619"/>
      <c r="AL37" s="619"/>
      <c r="AM37" s="619"/>
      <c r="AN37" s="619"/>
      <c r="AO37" s="1288"/>
    </row>
    <row r="38" spans="1:41" ht="15" customHeight="1">
      <c r="A38" s="870" t="s">
        <v>713</v>
      </c>
      <c r="B38" s="871"/>
      <c r="C38" s="871"/>
      <c r="D38" s="871"/>
      <c r="E38" s="871"/>
      <c r="F38" s="871"/>
      <c r="G38" s="871"/>
      <c r="H38" s="871"/>
      <c r="I38" s="871"/>
      <c r="J38" s="871"/>
      <c r="K38" s="871"/>
      <c r="L38" s="871"/>
      <c r="M38" s="871"/>
      <c r="N38" s="871"/>
      <c r="O38" s="871"/>
      <c r="P38" s="871"/>
      <c r="Q38" s="871"/>
      <c r="R38" s="871"/>
      <c r="S38" s="871"/>
      <c r="T38" s="871"/>
      <c r="U38" s="871"/>
      <c r="V38" s="871"/>
      <c r="W38" s="871"/>
      <c r="X38" s="871"/>
      <c r="Y38" s="871"/>
      <c r="Z38" s="871"/>
      <c r="AA38" s="871"/>
      <c r="AB38" s="871"/>
      <c r="AC38" s="871"/>
      <c r="AD38" s="871"/>
      <c r="AE38" s="871"/>
      <c r="AF38" s="871"/>
      <c r="AG38" s="871"/>
      <c r="AH38" s="871"/>
      <c r="AI38" s="871"/>
      <c r="AJ38" s="871"/>
      <c r="AK38" s="871"/>
      <c r="AL38" s="871"/>
      <c r="AM38" s="871"/>
      <c r="AN38" s="871"/>
      <c r="AO38" s="968"/>
    </row>
    <row r="39" spans="1:41" ht="15" customHeight="1">
      <c r="A39" s="73" t="s">
        <v>112</v>
      </c>
      <c r="F39" s="72"/>
      <c r="G39" s="560"/>
      <c r="H39" s="93"/>
      <c r="U39" s="524"/>
      <c r="V39" s="32"/>
      <c r="AC39" s="21"/>
      <c r="AD39" s="143"/>
      <c r="AE39" s="561"/>
      <c r="AF39" s="562"/>
      <c r="AG39" s="562"/>
      <c r="AH39" s="562"/>
      <c r="AI39" s="562"/>
      <c r="AJ39" s="562"/>
      <c r="AK39" s="562"/>
      <c r="AL39" s="562"/>
      <c r="AM39" s="562"/>
      <c r="AN39" s="9"/>
      <c r="AO39" s="44"/>
    </row>
    <row r="40" spans="1:41" ht="15" customHeight="1">
      <c r="A40" s="73"/>
      <c r="F40" s="72"/>
      <c r="G40" s="68" t="s">
        <v>714</v>
      </c>
      <c r="H40" s="93"/>
      <c r="I40" s="96"/>
      <c r="J40" s="96"/>
      <c r="K40" s="96"/>
      <c r="L40" s="96"/>
      <c r="M40" s="96"/>
      <c r="N40" s="96"/>
      <c r="O40" s="96"/>
      <c r="P40" s="96"/>
      <c r="Q40" s="96"/>
      <c r="R40" s="96"/>
      <c r="S40" s="96"/>
      <c r="U40" s="73" t="s">
        <v>715</v>
      </c>
      <c r="V40" s="32"/>
      <c r="X40" s="32"/>
      <c r="Y40" s="32"/>
      <c r="Z40" s="32"/>
      <c r="AA40" s="32"/>
      <c r="AB40" s="32"/>
      <c r="AC40" s="21"/>
      <c r="AD40" s="143"/>
      <c r="AE40" s="563"/>
      <c r="AF40" s="9"/>
      <c r="AG40" s="9"/>
      <c r="AH40" s="9"/>
      <c r="AI40" s="9"/>
      <c r="AJ40" s="9"/>
      <c r="AK40" s="9"/>
      <c r="AL40" s="9"/>
      <c r="AM40" s="9"/>
      <c r="AN40" s="9"/>
      <c r="AO40" s="44"/>
    </row>
    <row r="41" spans="1:41" ht="15" customHeight="1">
      <c r="A41" s="73"/>
      <c r="F41" s="72"/>
      <c r="G41" s="73" t="s">
        <v>716</v>
      </c>
      <c r="H41" s="96"/>
      <c r="I41" s="96"/>
      <c r="J41" s="96"/>
      <c r="K41" s="96"/>
      <c r="L41" s="96"/>
      <c r="M41" s="96"/>
      <c r="N41" s="96"/>
      <c r="O41" s="96"/>
      <c r="P41" s="96"/>
      <c r="Q41" s="96"/>
      <c r="R41" s="96"/>
      <c r="S41" s="96"/>
      <c r="U41" s="184" t="s">
        <v>717</v>
      </c>
      <c r="V41" s="81"/>
      <c r="W41" s="40"/>
      <c r="X41" s="81"/>
      <c r="Y41" s="81"/>
      <c r="Z41" s="81"/>
      <c r="AA41" s="81"/>
      <c r="AB41" s="81"/>
      <c r="AC41" s="44"/>
      <c r="AD41" s="143"/>
      <c r="AE41" s="40"/>
      <c r="AF41" s="9"/>
      <c r="AG41" s="9"/>
      <c r="AH41" s="9"/>
      <c r="AI41" s="9"/>
      <c r="AJ41" s="9"/>
      <c r="AK41" s="9"/>
      <c r="AL41" s="9"/>
      <c r="AM41" s="9"/>
      <c r="AN41" s="9"/>
      <c r="AO41" s="44"/>
    </row>
    <row r="42" spans="1:41" ht="15" customHeight="1">
      <c r="A42" s="73"/>
      <c r="B42" s="18"/>
      <c r="C42" s="18"/>
      <c r="D42" s="18"/>
      <c r="E42" s="18"/>
      <c r="F42" s="72"/>
      <c r="G42" s="73" t="s">
        <v>718</v>
      </c>
      <c r="H42" s="96"/>
      <c r="I42" s="96"/>
      <c r="J42" s="96"/>
      <c r="K42" s="96"/>
      <c r="L42" s="96"/>
      <c r="M42" s="96"/>
      <c r="N42" s="96"/>
      <c r="O42" s="96"/>
      <c r="P42" s="96"/>
      <c r="Q42" s="96"/>
      <c r="R42" s="96"/>
      <c r="S42" s="96"/>
      <c r="U42" s="184" t="s">
        <v>719</v>
      </c>
      <c r="V42" s="81"/>
      <c r="W42" s="40"/>
      <c r="X42" s="81"/>
      <c r="Y42" s="81"/>
      <c r="Z42" s="81"/>
      <c r="AA42" s="81"/>
      <c r="AB42" s="81"/>
      <c r="AC42" s="44"/>
      <c r="AD42" s="143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44"/>
    </row>
    <row r="43" spans="1:41" ht="15" customHeight="1">
      <c r="A43" s="73"/>
      <c r="F43" s="72"/>
      <c r="G43" s="73" t="s">
        <v>720</v>
      </c>
      <c r="H43" s="93"/>
      <c r="U43" s="184" t="s">
        <v>721</v>
      </c>
      <c r="V43" s="81"/>
      <c r="W43" s="40"/>
      <c r="X43" s="81"/>
      <c r="Y43" s="81"/>
      <c r="Z43" s="81"/>
      <c r="AA43" s="81"/>
      <c r="AB43" s="81"/>
      <c r="AC43" s="44"/>
      <c r="AD43" s="45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44"/>
    </row>
    <row r="44" spans="1:41" ht="15" customHeight="1">
      <c r="A44" s="73"/>
      <c r="B44" s="18"/>
      <c r="C44" s="18"/>
      <c r="D44" s="18"/>
      <c r="E44" s="18"/>
      <c r="F44" s="72"/>
      <c r="G44" s="73" t="s">
        <v>722</v>
      </c>
      <c r="H44" s="93"/>
      <c r="I44" s="96"/>
      <c r="J44" s="96"/>
      <c r="K44" s="96"/>
      <c r="L44" s="96"/>
      <c r="M44" s="96"/>
      <c r="N44" s="96"/>
      <c r="O44" s="96"/>
      <c r="P44" s="96"/>
      <c r="Q44" s="96"/>
      <c r="R44" s="96"/>
      <c r="S44" s="96"/>
      <c r="U44" s="184" t="s">
        <v>723</v>
      </c>
      <c r="V44" s="81"/>
      <c r="W44" s="40"/>
      <c r="X44" s="81"/>
      <c r="Y44" s="81"/>
      <c r="Z44" s="81"/>
      <c r="AA44" s="81"/>
      <c r="AB44" s="81"/>
      <c r="AC44" s="44"/>
      <c r="AD44" s="143"/>
      <c r="AE44" s="40"/>
      <c r="AF44" s="40"/>
      <c r="AG44" s="40"/>
      <c r="AH44" s="40"/>
      <c r="AI44" s="9"/>
      <c r="AJ44" s="9"/>
      <c r="AK44" s="9"/>
      <c r="AL44" s="9"/>
      <c r="AM44" s="9"/>
      <c r="AN44" s="9"/>
      <c r="AO44" s="44"/>
    </row>
    <row r="45" spans="1:41" ht="15" customHeight="1">
      <c r="A45" s="73"/>
      <c r="B45" s="18"/>
      <c r="C45" s="18"/>
      <c r="D45" s="18"/>
      <c r="E45" s="18"/>
      <c r="F45" s="72"/>
      <c r="G45" s="73" t="s">
        <v>724</v>
      </c>
      <c r="H45" s="564"/>
      <c r="I45" s="564"/>
      <c r="U45" s="184" t="s">
        <v>725</v>
      </c>
      <c r="V45" s="81"/>
      <c r="W45" s="40"/>
      <c r="X45" s="81"/>
      <c r="Y45" s="81"/>
      <c r="Z45" s="81"/>
      <c r="AA45" s="81"/>
      <c r="AB45" s="81"/>
      <c r="AC45" s="44"/>
      <c r="AD45" s="145"/>
      <c r="AE45" s="414"/>
      <c r="AF45" s="9"/>
      <c r="AG45" s="9"/>
      <c r="AH45" s="9"/>
      <c r="AI45" s="9"/>
      <c r="AJ45" s="9"/>
      <c r="AK45" s="9"/>
      <c r="AL45" s="9"/>
      <c r="AM45" s="9"/>
      <c r="AN45" s="9"/>
      <c r="AO45" s="44"/>
    </row>
    <row r="46" spans="1:41" ht="15" customHeight="1">
      <c r="A46" s="73"/>
      <c r="F46" s="72"/>
      <c r="G46" s="73" t="s">
        <v>726</v>
      </c>
      <c r="H46" s="77"/>
      <c r="U46" s="184" t="s">
        <v>727</v>
      </c>
      <c r="V46" s="81"/>
      <c r="W46" s="40"/>
      <c r="X46" s="81"/>
      <c r="Y46" s="81"/>
      <c r="Z46" s="81"/>
      <c r="AA46" s="81"/>
      <c r="AB46" s="81"/>
      <c r="AC46" s="44"/>
      <c r="AD46" s="565"/>
      <c r="AE46" s="439"/>
      <c r="AF46" s="9"/>
      <c r="AG46" s="9"/>
      <c r="AH46" s="9"/>
      <c r="AI46" s="9"/>
      <c r="AJ46" s="9"/>
      <c r="AK46" s="9"/>
      <c r="AL46" s="9"/>
      <c r="AM46" s="9"/>
      <c r="AN46" s="9"/>
      <c r="AO46" s="44"/>
    </row>
    <row r="47" spans="1:41" ht="15" customHeight="1">
      <c r="A47" s="73"/>
      <c r="F47" s="72"/>
      <c r="G47" s="68" t="s">
        <v>728</v>
      </c>
      <c r="H47" s="534"/>
      <c r="I47" s="534"/>
      <c r="J47" s="534"/>
      <c r="K47" s="534"/>
      <c r="L47" s="534"/>
      <c r="M47" s="534"/>
      <c r="N47" s="534"/>
      <c r="O47" s="534"/>
      <c r="U47" s="184" t="s">
        <v>729</v>
      </c>
      <c r="V47" s="81"/>
      <c r="W47" s="40"/>
      <c r="X47" s="40"/>
      <c r="Y47" s="40"/>
      <c r="Z47" s="40"/>
      <c r="AA47" s="40"/>
      <c r="AB47" s="40"/>
      <c r="AC47" s="44"/>
      <c r="AD47" s="565"/>
      <c r="AE47" s="439"/>
      <c r="AF47" s="9"/>
      <c r="AG47" s="9"/>
      <c r="AH47" s="9"/>
      <c r="AI47" s="9"/>
      <c r="AJ47" s="9"/>
      <c r="AK47" s="9"/>
      <c r="AL47" s="9"/>
      <c r="AM47" s="9"/>
      <c r="AN47" s="9"/>
      <c r="AO47" s="44"/>
    </row>
    <row r="48" spans="1:41" ht="15" customHeight="1">
      <c r="A48" s="73"/>
      <c r="F48" s="72"/>
      <c r="G48" s="73" t="s">
        <v>730</v>
      </c>
      <c r="H48" s="93"/>
      <c r="I48" s="146"/>
      <c r="J48" s="146"/>
      <c r="K48" s="93"/>
      <c r="L48" s="93"/>
      <c r="M48" s="93"/>
      <c r="N48" s="93"/>
      <c r="O48" s="93"/>
      <c r="U48" s="184" t="s">
        <v>731</v>
      </c>
      <c r="V48" s="81"/>
      <c r="W48" s="40"/>
      <c r="X48" s="40"/>
      <c r="Y48" s="40"/>
      <c r="Z48" s="40"/>
      <c r="AA48" s="40"/>
      <c r="AB48" s="40"/>
      <c r="AC48" s="44"/>
      <c r="AD48" s="565"/>
      <c r="AE48" s="439"/>
      <c r="AF48" s="9"/>
      <c r="AG48" s="9"/>
      <c r="AH48" s="9"/>
      <c r="AI48" s="9"/>
      <c r="AJ48" s="9"/>
      <c r="AK48" s="9"/>
      <c r="AL48" s="9"/>
      <c r="AM48" s="9"/>
      <c r="AN48" s="9"/>
      <c r="AO48" s="44"/>
    </row>
    <row r="49" spans="1:41" ht="15" customHeight="1">
      <c r="A49" s="73"/>
      <c r="F49" s="72"/>
      <c r="G49" s="73" t="s">
        <v>732</v>
      </c>
      <c r="H49" s="93"/>
      <c r="I49" s="97"/>
      <c r="J49" s="93"/>
      <c r="K49" s="93"/>
      <c r="L49" s="93"/>
      <c r="M49" s="93"/>
      <c r="N49" s="93"/>
      <c r="O49" s="93"/>
      <c r="U49" s="184" t="s">
        <v>733</v>
      </c>
      <c r="V49" s="81"/>
      <c r="W49" s="40"/>
      <c r="X49" s="40"/>
      <c r="Y49" s="40"/>
      <c r="Z49" s="40"/>
      <c r="AA49" s="40"/>
      <c r="AB49" s="40"/>
      <c r="AC49" s="44"/>
      <c r="AD49" s="565"/>
      <c r="AE49" s="439"/>
      <c r="AF49" s="9"/>
      <c r="AG49" s="9"/>
      <c r="AH49" s="9"/>
      <c r="AI49" s="9"/>
      <c r="AJ49" s="9"/>
      <c r="AK49" s="9"/>
      <c r="AL49" s="9"/>
      <c r="AM49" s="9"/>
      <c r="AN49" s="9"/>
      <c r="AO49" s="44"/>
    </row>
    <row r="50" spans="1:41" ht="15" customHeight="1">
      <c r="A50" s="73"/>
      <c r="F50" s="72"/>
      <c r="G50" s="73" t="s">
        <v>734</v>
      </c>
      <c r="H50" s="93"/>
      <c r="I50" s="93"/>
      <c r="J50" s="93"/>
      <c r="K50" s="93"/>
      <c r="L50" s="93"/>
      <c r="M50" s="93"/>
      <c r="N50" s="93"/>
      <c r="O50" s="93"/>
      <c r="U50" s="184" t="s">
        <v>735</v>
      </c>
      <c r="V50" s="81"/>
      <c r="W50" s="40"/>
      <c r="X50" s="40"/>
      <c r="Y50" s="40"/>
      <c r="Z50" s="40"/>
      <c r="AA50" s="40"/>
      <c r="AB50" s="40"/>
      <c r="AC50" s="44"/>
      <c r="AD50" s="565"/>
      <c r="AE50" s="439"/>
      <c r="AF50" s="9"/>
      <c r="AG50" s="9"/>
      <c r="AH50" s="9"/>
      <c r="AI50" s="9"/>
      <c r="AJ50" s="9"/>
      <c r="AK50" s="9"/>
      <c r="AL50" s="9"/>
      <c r="AM50" s="9"/>
      <c r="AN50" s="9"/>
      <c r="AO50" s="44"/>
    </row>
    <row r="51" spans="1:41" ht="15" customHeight="1">
      <c r="A51" s="73"/>
      <c r="F51" s="72"/>
      <c r="G51" s="73"/>
      <c r="H51" s="97"/>
      <c r="I51" s="15"/>
      <c r="J51" s="15"/>
      <c r="K51" s="309"/>
      <c r="L51" s="309"/>
      <c r="M51" s="309"/>
      <c r="N51" s="309"/>
      <c r="O51" s="309"/>
      <c r="P51" s="309"/>
      <c r="T51" s="16"/>
      <c r="U51" s="68"/>
      <c r="V51" s="81"/>
      <c r="W51" s="40"/>
      <c r="X51" s="40"/>
      <c r="Y51" s="40"/>
      <c r="Z51" s="40"/>
      <c r="AA51" s="40"/>
      <c r="AB51" s="40"/>
      <c r="AC51" s="44"/>
      <c r="AD51" s="565"/>
      <c r="AE51" s="439"/>
      <c r="AF51" s="9"/>
      <c r="AG51" s="9"/>
      <c r="AH51" s="9"/>
      <c r="AI51" s="9"/>
      <c r="AJ51" s="9"/>
      <c r="AK51" s="9"/>
      <c r="AL51" s="9"/>
      <c r="AM51" s="9"/>
      <c r="AN51" s="9"/>
      <c r="AO51" s="44"/>
    </row>
    <row r="52" spans="1:41" ht="15" customHeight="1">
      <c r="A52" s="73"/>
      <c r="F52" s="72"/>
      <c r="G52" s="560"/>
      <c r="H52" s="93"/>
      <c r="I52" s="93"/>
      <c r="J52" s="305"/>
      <c r="K52" s="305"/>
      <c r="L52" s="305"/>
      <c r="M52" s="305"/>
      <c r="N52" s="305"/>
      <c r="O52" s="305"/>
      <c r="P52" s="305"/>
      <c r="Q52" s="305"/>
      <c r="U52" s="524"/>
      <c r="V52" s="81"/>
      <c r="W52" s="40"/>
      <c r="X52" s="40"/>
      <c r="Y52" s="40"/>
      <c r="Z52" s="40"/>
      <c r="AA52" s="40"/>
      <c r="AB52" s="40"/>
      <c r="AC52" s="44"/>
      <c r="AD52" s="565"/>
      <c r="AE52" s="439"/>
      <c r="AF52" s="9"/>
      <c r="AG52" s="9"/>
      <c r="AH52" s="9"/>
      <c r="AI52" s="9"/>
      <c r="AJ52" s="9"/>
      <c r="AK52" s="9"/>
      <c r="AL52" s="9"/>
      <c r="AM52" s="9"/>
      <c r="AN52" s="9"/>
      <c r="AO52" s="44"/>
    </row>
    <row r="53" spans="1:41" ht="15" customHeight="1">
      <c r="A53" s="73"/>
      <c r="B53" s="18"/>
      <c r="F53" s="72"/>
      <c r="U53" s="73"/>
      <c r="V53" s="40"/>
      <c r="W53" s="40"/>
      <c r="X53" s="40"/>
      <c r="Y53" s="40"/>
      <c r="Z53" s="40"/>
      <c r="AA53" s="40"/>
      <c r="AB53" s="40"/>
      <c r="AC53" s="44"/>
      <c r="AD53" s="566"/>
      <c r="AE53" s="439"/>
      <c r="AF53" s="9"/>
      <c r="AG53" s="9"/>
      <c r="AH53" s="9"/>
      <c r="AI53" s="9"/>
      <c r="AJ53" s="9"/>
      <c r="AK53" s="9"/>
      <c r="AL53" s="9"/>
      <c r="AM53" s="9"/>
      <c r="AN53" s="9"/>
      <c r="AO53" s="44"/>
    </row>
    <row r="54" spans="1:41" ht="15" customHeight="1">
      <c r="A54" s="73"/>
      <c r="F54" s="72"/>
      <c r="I54" s="15"/>
      <c r="U54" s="73"/>
      <c r="V54" s="40"/>
      <c r="W54" s="40"/>
      <c r="X54" s="40"/>
      <c r="Y54" s="40"/>
      <c r="Z54" s="40"/>
      <c r="AA54" s="40"/>
      <c r="AB54" s="40"/>
      <c r="AC54" s="44"/>
      <c r="AD54" s="143"/>
      <c r="AE54" s="40"/>
      <c r="AF54" s="9"/>
      <c r="AG54" s="9"/>
      <c r="AH54" s="9"/>
      <c r="AI54" s="9"/>
      <c r="AJ54" s="9"/>
      <c r="AK54" s="9"/>
      <c r="AL54" s="9"/>
      <c r="AM54" s="9"/>
      <c r="AN54" s="9"/>
      <c r="AO54" s="44"/>
    </row>
    <row r="55" spans="1:41" ht="15" customHeight="1">
      <c r="A55" s="73"/>
      <c r="B55" s="18"/>
      <c r="C55" s="18"/>
      <c r="D55" s="18"/>
      <c r="E55" s="18"/>
      <c r="F55" s="72"/>
      <c r="H55" s="77"/>
      <c r="U55" s="73"/>
      <c r="V55" s="563"/>
      <c r="W55" s="40"/>
      <c r="X55" s="40"/>
      <c r="Y55" s="40"/>
      <c r="Z55" s="40"/>
      <c r="AA55" s="40"/>
      <c r="AB55" s="40"/>
      <c r="AC55" s="44"/>
      <c r="AD55" s="143"/>
      <c r="AE55" s="414"/>
      <c r="AF55" s="40"/>
      <c r="AG55" s="40"/>
      <c r="AH55" s="40"/>
      <c r="AI55" s="9"/>
      <c r="AJ55" s="9"/>
      <c r="AK55" s="9"/>
      <c r="AL55" s="9"/>
      <c r="AM55" s="9"/>
      <c r="AN55" s="9"/>
      <c r="AO55" s="144"/>
    </row>
    <row r="56" spans="1:41" ht="15" customHeight="1">
      <c r="A56" s="73"/>
      <c r="B56" s="18"/>
      <c r="C56" s="18"/>
      <c r="D56" s="18"/>
      <c r="E56" s="18"/>
      <c r="F56" s="72"/>
      <c r="G56" s="560"/>
      <c r="H56" s="93"/>
      <c r="U56" s="524"/>
      <c r="V56" s="81"/>
      <c r="W56" s="567"/>
      <c r="X56" s="567"/>
      <c r="Y56" s="567"/>
      <c r="Z56" s="567"/>
      <c r="AA56" s="567"/>
      <c r="AB56" s="81"/>
      <c r="AC56" s="44"/>
      <c r="AD56" s="143"/>
      <c r="AE56" s="40"/>
      <c r="AF56" s="40"/>
      <c r="AG56" s="40"/>
      <c r="AH56" s="40"/>
      <c r="AI56" s="9"/>
      <c r="AJ56" s="9"/>
      <c r="AK56" s="9"/>
      <c r="AL56" s="9"/>
      <c r="AM56" s="9"/>
      <c r="AN56" s="9"/>
      <c r="AO56" s="44"/>
    </row>
    <row r="57" spans="1:41" ht="15" customHeight="1">
      <c r="A57" s="73"/>
      <c r="B57" s="18"/>
      <c r="C57" s="18"/>
      <c r="D57" s="18"/>
      <c r="E57" s="18"/>
      <c r="F57" s="72"/>
      <c r="G57" s="560"/>
      <c r="H57" s="96"/>
      <c r="I57" s="96"/>
      <c r="U57" s="524"/>
      <c r="V57" s="151"/>
      <c r="W57" s="151"/>
      <c r="X57" s="151"/>
      <c r="Y57" s="151"/>
      <c r="Z57" s="151"/>
      <c r="AA57" s="151"/>
      <c r="AB57" s="151"/>
      <c r="AC57" s="44"/>
      <c r="AD57" s="143"/>
      <c r="AE57" s="40"/>
      <c r="AF57" s="40"/>
      <c r="AG57" s="40"/>
      <c r="AH57" s="40"/>
      <c r="AI57" s="9"/>
      <c r="AJ57" s="9"/>
      <c r="AK57" s="9"/>
      <c r="AL57" s="9"/>
      <c r="AM57" s="9"/>
      <c r="AN57" s="9"/>
      <c r="AO57" s="44"/>
    </row>
    <row r="58" spans="1:41" ht="15" customHeight="1">
      <c r="A58" s="73"/>
      <c r="B58" s="18"/>
      <c r="C58" s="18"/>
      <c r="D58" s="18"/>
      <c r="E58" s="18"/>
      <c r="F58" s="72"/>
      <c r="G58" s="560"/>
      <c r="U58" s="524"/>
      <c r="V58" s="367"/>
      <c r="W58" s="81"/>
      <c r="X58" s="81"/>
      <c r="Y58" s="81"/>
      <c r="Z58" s="81"/>
      <c r="AA58" s="81"/>
      <c r="AB58" s="81"/>
      <c r="AC58" s="44"/>
      <c r="AD58" s="143"/>
      <c r="AE58" s="40"/>
      <c r="AF58" s="40"/>
      <c r="AG58" s="40"/>
      <c r="AH58" s="40"/>
      <c r="AI58" s="9"/>
      <c r="AJ58" s="9"/>
      <c r="AK58" s="9"/>
      <c r="AL58" s="9"/>
      <c r="AM58" s="9"/>
      <c r="AN58" s="9"/>
      <c r="AO58" s="44"/>
    </row>
    <row r="59" spans="1:41" ht="15" customHeight="1">
      <c r="A59" s="73"/>
      <c r="B59" s="18"/>
      <c r="C59" s="18"/>
      <c r="D59" s="18"/>
      <c r="E59" s="18"/>
      <c r="F59" s="72"/>
      <c r="G59" s="560"/>
      <c r="H59" s="93"/>
      <c r="T59" s="16"/>
      <c r="U59" s="524"/>
      <c r="V59" s="81"/>
      <c r="W59" s="403"/>
      <c r="X59" s="81"/>
      <c r="Y59" s="81"/>
      <c r="Z59" s="81"/>
      <c r="AA59" s="81"/>
      <c r="AB59" s="81"/>
      <c r="AC59" s="44"/>
      <c r="AD59" s="143"/>
      <c r="AE59" s="40"/>
      <c r="AF59" s="40"/>
      <c r="AG59" s="9"/>
      <c r="AH59" s="40"/>
      <c r="AI59" s="9"/>
      <c r="AJ59" s="9"/>
      <c r="AK59" s="9"/>
      <c r="AL59" s="9"/>
      <c r="AM59" s="9"/>
      <c r="AN59" s="9"/>
      <c r="AO59" s="44"/>
    </row>
    <row r="60" spans="1:41" ht="15" customHeight="1">
      <c r="A60" s="73"/>
      <c r="F60" s="72"/>
      <c r="G60" s="560"/>
      <c r="U60" s="73"/>
      <c r="V60" s="40"/>
      <c r="W60" s="9"/>
      <c r="X60" s="40"/>
      <c r="Y60" s="40"/>
      <c r="Z60" s="40"/>
      <c r="AA60" s="40"/>
      <c r="AB60" s="40"/>
      <c r="AC60" s="44"/>
      <c r="AD60" s="143"/>
      <c r="AE60" s="40"/>
      <c r="AF60" s="568"/>
      <c r="AG60" s="568"/>
      <c r="AH60" s="9"/>
      <c r="AI60" s="9"/>
      <c r="AJ60" s="568"/>
      <c r="AK60" s="568"/>
      <c r="AL60" s="9"/>
      <c r="AM60" s="9"/>
      <c r="AN60" s="9"/>
      <c r="AO60" s="44"/>
    </row>
    <row r="61" spans="1:41" ht="15" customHeight="1">
      <c r="A61" s="73"/>
      <c r="F61" s="72"/>
      <c r="G61" s="560"/>
      <c r="U61" s="73"/>
      <c r="V61" s="40"/>
      <c r="W61" s="40"/>
      <c r="X61" s="40"/>
      <c r="Y61" s="40"/>
      <c r="Z61" s="40"/>
      <c r="AA61" s="40"/>
      <c r="AB61" s="40"/>
      <c r="AC61" s="44"/>
      <c r="AD61" s="143"/>
      <c r="AE61" s="40"/>
      <c r="AF61" s="568"/>
      <c r="AG61" s="568"/>
      <c r="AH61" s="9"/>
      <c r="AI61" s="9"/>
      <c r="AJ61" s="568"/>
      <c r="AK61" s="568"/>
      <c r="AL61" s="9"/>
      <c r="AM61" s="9"/>
      <c r="AN61" s="9"/>
      <c r="AO61" s="44"/>
    </row>
    <row r="62" spans="1:41" ht="15" customHeight="1">
      <c r="A62" s="73"/>
      <c r="F62" s="72"/>
      <c r="G62" s="560"/>
      <c r="U62" s="73"/>
      <c r="V62" s="40"/>
      <c r="W62" s="40"/>
      <c r="X62" s="40"/>
      <c r="Y62" s="40"/>
      <c r="Z62" s="40"/>
      <c r="AA62" s="40"/>
      <c r="AB62" s="40"/>
      <c r="AC62" s="44"/>
      <c r="AD62" s="143"/>
      <c r="AE62" s="40"/>
      <c r="AF62" s="568"/>
      <c r="AG62" s="568"/>
      <c r="AH62" s="9"/>
      <c r="AI62" s="9"/>
      <c r="AJ62" s="568"/>
      <c r="AK62" s="568"/>
      <c r="AL62" s="9"/>
      <c r="AM62" s="9"/>
      <c r="AN62" s="9"/>
      <c r="AO62" s="44"/>
    </row>
    <row r="63" spans="1:41" ht="15" customHeight="1">
      <c r="A63" s="73"/>
      <c r="F63" s="72"/>
      <c r="G63" s="560"/>
      <c r="U63" s="73"/>
      <c r="V63" s="40"/>
      <c r="W63" s="40"/>
      <c r="X63" s="40"/>
      <c r="Y63" s="40"/>
      <c r="Z63" s="40"/>
      <c r="AA63" s="40"/>
      <c r="AB63" s="40"/>
      <c r="AC63" s="44"/>
      <c r="AD63" s="143"/>
      <c r="AE63" s="40"/>
      <c r="AF63" s="568"/>
      <c r="AG63" s="568"/>
      <c r="AH63" s="9"/>
      <c r="AI63" s="9"/>
      <c r="AJ63" s="568"/>
      <c r="AK63" s="568"/>
      <c r="AL63" s="9"/>
      <c r="AM63" s="9"/>
      <c r="AN63" s="9"/>
      <c r="AO63" s="44"/>
    </row>
    <row r="64" spans="1:41" ht="15" customHeight="1">
      <c r="A64" s="73"/>
      <c r="F64" s="72"/>
      <c r="G64" s="560"/>
      <c r="U64" s="73"/>
      <c r="V64" s="40"/>
      <c r="W64" s="40"/>
      <c r="X64" s="40"/>
      <c r="Y64" s="40"/>
      <c r="Z64" s="40"/>
      <c r="AA64" s="40"/>
      <c r="AB64" s="40"/>
      <c r="AC64" s="44"/>
      <c r="AD64" s="143"/>
      <c r="AE64" s="40"/>
      <c r="AF64" s="568"/>
      <c r="AG64" s="568"/>
      <c r="AH64" s="9"/>
      <c r="AI64" s="9"/>
      <c r="AJ64" s="568"/>
      <c r="AK64" s="568"/>
      <c r="AL64" s="9"/>
      <c r="AM64" s="9"/>
      <c r="AN64" s="9"/>
      <c r="AO64" s="44"/>
    </row>
    <row r="65" spans="1:41" ht="15" customHeight="1">
      <c r="A65" s="73"/>
      <c r="F65" s="72"/>
      <c r="G65" s="560"/>
      <c r="U65" s="73"/>
      <c r="V65" s="40"/>
      <c r="W65" s="40"/>
      <c r="X65" s="40"/>
      <c r="Y65" s="40"/>
      <c r="Z65" s="40"/>
      <c r="AA65" s="40"/>
      <c r="AB65" s="40"/>
      <c r="AC65" s="44"/>
      <c r="AD65" s="143"/>
      <c r="AE65" s="40"/>
      <c r="AF65" s="568"/>
      <c r="AG65" s="568"/>
      <c r="AH65" s="9"/>
      <c r="AI65" s="9"/>
      <c r="AJ65" s="568"/>
      <c r="AK65" s="568"/>
      <c r="AL65" s="9"/>
      <c r="AM65" s="9"/>
      <c r="AN65" s="9"/>
      <c r="AO65" s="44"/>
    </row>
    <row r="66" spans="1:41" ht="15" customHeight="1">
      <c r="A66" s="73"/>
      <c r="F66" s="72"/>
      <c r="G66" s="73"/>
      <c r="J66" s="15"/>
      <c r="K66" s="534"/>
      <c r="U66" s="73"/>
      <c r="V66" s="40"/>
      <c r="W66" s="40"/>
      <c r="X66" s="40"/>
      <c r="Y66" s="40"/>
      <c r="Z66" s="40"/>
      <c r="AA66" s="40"/>
      <c r="AB66" s="40"/>
      <c r="AC66" s="44"/>
      <c r="AD66" s="143"/>
      <c r="AE66" s="40"/>
      <c r="AF66" s="568"/>
      <c r="AG66" s="568"/>
      <c r="AH66" s="9"/>
      <c r="AI66" s="9"/>
      <c r="AJ66" s="568"/>
      <c r="AK66" s="568"/>
      <c r="AL66" s="9"/>
      <c r="AM66" s="9"/>
      <c r="AN66" s="9"/>
      <c r="AO66" s="44"/>
    </row>
    <row r="67" spans="1:41" ht="15" customHeight="1">
      <c r="A67" s="73"/>
      <c r="F67" s="72"/>
      <c r="G67" s="73"/>
      <c r="H67" s="93"/>
      <c r="J67" s="15"/>
      <c r="U67" s="73"/>
      <c r="V67" s="40"/>
      <c r="W67" s="40"/>
      <c r="X67" s="40"/>
      <c r="Y67" s="40"/>
      <c r="Z67" s="40"/>
      <c r="AA67" s="40"/>
      <c r="AB67" s="40"/>
      <c r="AC67" s="44"/>
      <c r="AD67" s="143"/>
      <c r="AE67" s="40"/>
      <c r="AF67" s="9"/>
      <c r="AG67" s="9"/>
      <c r="AH67" s="9"/>
      <c r="AI67" s="9"/>
      <c r="AJ67" s="9"/>
      <c r="AK67" s="9"/>
      <c r="AL67" s="9"/>
      <c r="AM67" s="9"/>
      <c r="AN67" s="9"/>
      <c r="AO67" s="44"/>
    </row>
    <row r="68" spans="1:41" ht="15" customHeight="1">
      <c r="A68" s="73"/>
      <c r="B68" s="18"/>
      <c r="F68" s="72"/>
      <c r="G68" s="366"/>
      <c r="I68" s="93"/>
      <c r="J68" s="15"/>
      <c r="K68" s="93"/>
      <c r="U68" s="73"/>
      <c r="V68" s="40"/>
      <c r="W68" s="40"/>
      <c r="X68" s="40"/>
      <c r="Y68" s="40"/>
      <c r="Z68" s="40"/>
      <c r="AA68" s="40"/>
      <c r="AB68" s="40"/>
      <c r="AC68" s="44"/>
      <c r="AD68" s="143"/>
      <c r="AE68" s="40"/>
      <c r="AF68" s="9"/>
      <c r="AG68" s="9"/>
      <c r="AH68" s="9"/>
      <c r="AI68" s="9"/>
      <c r="AJ68" s="9"/>
      <c r="AK68" s="9"/>
      <c r="AL68" s="9"/>
      <c r="AM68" s="9"/>
      <c r="AN68" s="9"/>
      <c r="AO68" s="44"/>
    </row>
    <row r="69" spans="1:41" ht="15" customHeight="1">
      <c r="A69" s="73"/>
      <c r="B69" s="18"/>
      <c r="F69" s="72"/>
      <c r="G69" s="366"/>
      <c r="I69" s="93"/>
      <c r="J69" s="15"/>
      <c r="K69" s="93"/>
      <c r="U69" s="73"/>
      <c r="V69" s="40"/>
      <c r="W69" s="40"/>
      <c r="X69" s="40"/>
      <c r="Y69" s="40"/>
      <c r="Z69" s="40"/>
      <c r="AA69" s="40"/>
      <c r="AB69" s="40"/>
      <c r="AC69" s="44"/>
      <c r="AD69" s="143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44"/>
    </row>
    <row r="70" spans="1:41" ht="15" customHeight="1">
      <c r="A70" s="73"/>
      <c r="B70" s="18"/>
      <c r="F70" s="72"/>
      <c r="G70" s="366"/>
      <c r="J70" s="15"/>
      <c r="K70" s="93"/>
      <c r="U70" s="73"/>
      <c r="V70" s="40"/>
      <c r="W70" s="40"/>
      <c r="X70" s="40"/>
      <c r="Y70" s="40"/>
      <c r="Z70" s="40"/>
      <c r="AA70" s="40"/>
      <c r="AB70" s="40"/>
      <c r="AC70" s="44"/>
      <c r="AD70" s="143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44"/>
    </row>
    <row r="71" spans="1:41" ht="15" customHeight="1">
      <c r="A71" s="358"/>
      <c r="B71" s="165"/>
      <c r="C71" s="165"/>
      <c r="D71" s="165"/>
      <c r="E71" s="165"/>
      <c r="F71" s="166"/>
      <c r="G71" s="569"/>
      <c r="H71" s="570"/>
      <c r="I71" s="174"/>
      <c r="J71" s="174"/>
      <c r="K71" s="174"/>
      <c r="L71" s="174"/>
      <c r="M71" s="174"/>
      <c r="N71" s="174"/>
      <c r="O71" s="174"/>
      <c r="P71" s="174"/>
      <c r="Q71" s="174"/>
      <c r="R71" s="174"/>
      <c r="S71" s="174"/>
      <c r="T71" s="359"/>
      <c r="U71" s="174"/>
      <c r="V71" s="60"/>
      <c r="W71" s="60"/>
      <c r="X71" s="60"/>
      <c r="Y71" s="60"/>
      <c r="Z71" s="60"/>
      <c r="AA71" s="60"/>
      <c r="AB71" s="60"/>
      <c r="AC71" s="63"/>
      <c r="AD71" s="56"/>
      <c r="AE71" s="57"/>
      <c r="AF71" s="57"/>
      <c r="AG71" s="57"/>
      <c r="AH71" s="57"/>
      <c r="AI71" s="57"/>
      <c r="AJ71" s="57"/>
      <c r="AK71" s="57"/>
      <c r="AL71" s="57"/>
      <c r="AM71" s="57"/>
      <c r="AN71" s="57"/>
      <c r="AO71" s="63"/>
    </row>
  </sheetData>
  <sheetProtection formatCells="0" selectLockedCells="1"/>
  <mergeCells count="13">
    <mergeCell ref="A1:AL1"/>
    <mergeCell ref="A2:AL2"/>
    <mergeCell ref="A3:F3"/>
    <mergeCell ref="G3:T3"/>
    <mergeCell ref="U3:AC3"/>
    <mergeCell ref="AD3:AO3"/>
    <mergeCell ref="A38:AO38"/>
    <mergeCell ref="A4:AO4"/>
    <mergeCell ref="AD5:AO37"/>
    <mergeCell ref="AA7:AB7"/>
    <mergeCell ref="AA15:AB15"/>
    <mergeCell ref="AA23:AB23"/>
    <mergeCell ref="AA32:AB32"/>
  </mergeCells>
  <conditionalFormatting sqref="Y7:Y11 Y15:Y19 Y24:Y27 Y32:Y34 V41:V50">
    <cfRule type="containsBlanks" dxfId="10" priority="5" stopIfTrue="1">
      <formula>LEN(TRIM(V7))=0</formula>
    </cfRule>
  </conditionalFormatting>
  <conditionalFormatting sqref="AA7:AB7">
    <cfRule type="containsText" dxfId="9" priority="4" stopIfTrue="1" operator="containsText" text="Un">
      <formula>NOT(ISERROR(SEARCH("Un",AA7)))</formula>
    </cfRule>
  </conditionalFormatting>
  <conditionalFormatting sqref="AA15:AB15">
    <cfRule type="containsText" dxfId="8" priority="3" stopIfTrue="1" operator="containsText" text="Un">
      <formula>NOT(ISERROR(SEARCH("Un",AA15)))</formula>
    </cfRule>
  </conditionalFormatting>
  <conditionalFormatting sqref="AA23:AB23">
    <cfRule type="containsText" dxfId="7" priority="2" stopIfTrue="1" operator="containsText" text="Un">
      <formula>NOT(ISERROR(SEARCH("Un",AA23)))</formula>
    </cfRule>
  </conditionalFormatting>
  <conditionalFormatting sqref="AA32:AB32">
    <cfRule type="containsText" dxfId="6" priority="1" stopIfTrue="1" operator="containsText" text="Un">
      <formula>NOT(ISERROR(SEARCH("Un",AA32)))</formula>
    </cfRule>
  </conditionalFormatting>
  <printOptions horizontalCentered="1"/>
  <pageMargins left="0.25" right="0.22" top="0.39370078740157499" bottom="0.23" header="0" footer="0"/>
  <pageSetup paperSize="9" scale="43" orientation="landscape" r:id="rId1"/>
  <headerFooter alignWithMargins="0">
    <oddHeader>&amp;LPELNG-F-MO.T2-0026 Rev. 00&amp;C&amp;REffective Date: 22/04/2026</oddHeader>
    <oddFooter>&amp;L&amp;C&amp;R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A44CAF-5FA1-4C78-8F03-A61C8D0DC813}">
  <dimension ref="A1:AT65"/>
  <sheetViews>
    <sheetView view="pageBreakPreview" topLeftCell="Z12" zoomScale="68" zoomScaleNormal="45" zoomScaleSheetLayoutView="32" zoomScalePageLayoutView="49" workbookViewId="0">
      <selection activeCell="AW32" sqref="AW32"/>
    </sheetView>
  </sheetViews>
  <sheetFormatPr defaultColWidth="9.109375" defaultRowHeight="13.8"/>
  <cols>
    <col min="1" max="1" width="6.6640625" style="177" customWidth="1"/>
    <col min="2" max="2" width="6.6640625" style="15" customWidth="1"/>
    <col min="3" max="3" width="6.5546875" style="15" customWidth="1"/>
    <col min="4" max="5" width="6.6640625" style="15" customWidth="1"/>
    <col min="6" max="19" width="6.6640625" style="18" customWidth="1"/>
    <col min="20" max="20" width="6.6640625" style="15" customWidth="1"/>
    <col min="21" max="31" width="6.6640625" style="18" customWidth="1"/>
    <col min="32" max="34" width="6.6640625" style="15" customWidth="1"/>
    <col min="35" max="35" width="6.33203125" style="15" customWidth="1"/>
    <col min="36" max="36" width="8.5546875" style="15" customWidth="1"/>
    <col min="37" max="46" width="6.33203125" style="15" customWidth="1"/>
    <col min="47" max="50" width="9.109375" style="15" customWidth="1"/>
    <col min="51" max="16384" width="9.109375" style="15"/>
  </cols>
  <sheetData>
    <row r="1" spans="1:46" ht="24.9" customHeight="1">
      <c r="A1" s="571" t="s">
        <v>736</v>
      </c>
      <c r="B1" s="572"/>
      <c r="C1" s="572"/>
      <c r="D1" s="572"/>
      <c r="E1" s="572"/>
      <c r="F1" s="572"/>
      <c r="G1" s="572"/>
      <c r="H1" s="572"/>
      <c r="I1" s="572"/>
      <c r="J1" s="572"/>
      <c r="K1" s="572"/>
      <c r="L1" s="572"/>
      <c r="M1" s="573"/>
      <c r="N1" s="572"/>
      <c r="O1" s="572"/>
      <c r="P1" s="572"/>
      <c r="Q1" s="572"/>
      <c r="R1" s="572"/>
      <c r="S1" s="572"/>
      <c r="T1" s="572"/>
      <c r="U1" s="572"/>
      <c r="V1" s="572"/>
      <c r="W1" s="572"/>
      <c r="X1" s="572"/>
      <c r="Y1" s="572"/>
      <c r="Z1" s="572"/>
      <c r="AA1" s="572"/>
      <c r="AB1" s="572"/>
      <c r="AC1" s="572"/>
      <c r="AD1" s="572"/>
      <c r="AE1" s="572"/>
      <c r="AF1" s="572"/>
      <c r="AG1" s="572"/>
      <c r="AH1" s="572"/>
      <c r="AI1" s="572"/>
      <c r="AJ1" s="572"/>
      <c r="AK1" s="572"/>
      <c r="AL1" s="572"/>
      <c r="AM1" s="572"/>
      <c r="AN1" s="572"/>
      <c r="AO1" s="572"/>
      <c r="AP1" s="572"/>
      <c r="AQ1" s="572"/>
      <c r="AR1" s="572"/>
      <c r="AS1" s="572"/>
      <c r="AT1" s="574"/>
    </row>
    <row r="2" spans="1:46" ht="15" customHeight="1">
      <c r="A2" s="575"/>
      <c r="B2" s="576"/>
      <c r="C2" s="576"/>
      <c r="D2" s="576"/>
      <c r="E2" s="576"/>
      <c r="F2" s="576"/>
      <c r="G2" s="576"/>
      <c r="H2" s="576"/>
      <c r="I2" s="576"/>
      <c r="J2" s="576"/>
      <c r="K2" s="576"/>
      <c r="L2" s="576"/>
      <c r="M2" s="576"/>
      <c r="N2" s="576"/>
      <c r="O2" s="576"/>
      <c r="P2" s="576"/>
      <c r="Q2" s="576"/>
      <c r="R2" s="576"/>
      <c r="S2" s="576"/>
      <c r="T2" s="576"/>
      <c r="U2" s="576"/>
      <c r="V2" s="576"/>
      <c r="W2" s="576"/>
      <c r="X2" s="576"/>
      <c r="Y2" s="576"/>
      <c r="Z2" s="576"/>
      <c r="AA2" s="576"/>
      <c r="AB2" s="576"/>
      <c r="AC2" s="576"/>
      <c r="AD2" s="576"/>
      <c r="AE2" s="576"/>
      <c r="AF2" s="576"/>
      <c r="AG2" s="576"/>
      <c r="AH2" s="576"/>
      <c r="AI2" s="576"/>
      <c r="AJ2" s="576"/>
      <c r="AK2" s="576"/>
      <c r="AL2" s="576"/>
      <c r="AM2" s="576"/>
      <c r="AN2" s="576"/>
      <c r="AO2" s="576"/>
      <c r="AP2" s="576"/>
      <c r="AQ2" s="576"/>
      <c r="AR2" s="576"/>
      <c r="AS2" s="576"/>
      <c r="AT2" s="577"/>
    </row>
    <row r="3" spans="1:46" s="67" customFormat="1" ht="15" customHeight="1">
      <c r="A3" s="578"/>
      <c r="B3" s="579"/>
      <c r="C3" s="579"/>
      <c r="D3" s="579"/>
      <c r="E3" s="579"/>
      <c r="F3" s="579"/>
      <c r="G3" s="580"/>
      <c r="H3" s="579"/>
      <c r="I3" s="579"/>
      <c r="J3" s="579"/>
      <c r="K3" s="579"/>
      <c r="L3" s="579"/>
      <c r="M3" s="579"/>
      <c r="N3" s="579"/>
      <c r="O3" s="579"/>
      <c r="P3" s="579"/>
      <c r="Q3" s="579"/>
      <c r="R3" s="579"/>
      <c r="S3" s="579"/>
      <c r="T3" s="579"/>
      <c r="U3" s="580"/>
      <c r="V3" s="579"/>
      <c r="W3" s="579"/>
      <c r="X3" s="579"/>
      <c r="Y3" s="579"/>
      <c r="Z3" s="579"/>
      <c r="AA3" s="579"/>
      <c r="AB3" s="579"/>
      <c r="AC3" s="579"/>
      <c r="AD3" s="579"/>
      <c r="AE3" s="579"/>
      <c r="AF3" s="579"/>
      <c r="AG3" s="579"/>
      <c r="AH3" s="579"/>
      <c r="AI3" s="579"/>
      <c r="AJ3" s="579"/>
      <c r="AK3" s="579"/>
      <c r="AL3" s="579"/>
      <c r="AM3" s="579"/>
      <c r="AN3" s="579"/>
      <c r="AO3" s="579"/>
      <c r="AP3" s="579"/>
      <c r="AQ3" s="579"/>
      <c r="AR3" s="579"/>
      <c r="AS3" s="579"/>
      <c r="AT3" s="581"/>
    </row>
    <row r="4" spans="1:46" ht="15" customHeight="1">
      <c r="A4" s="73"/>
      <c r="B4" s="612" t="s">
        <v>750</v>
      </c>
      <c r="C4" s="613"/>
      <c r="D4" s="613"/>
      <c r="E4" s="613"/>
      <c r="F4" s="613"/>
      <c r="G4" s="613"/>
      <c r="H4" s="613"/>
      <c r="I4" s="613"/>
      <c r="J4" s="613"/>
      <c r="K4" s="613"/>
      <c r="L4" s="613"/>
      <c r="M4" s="613"/>
      <c r="N4" s="613"/>
      <c r="O4" s="613"/>
      <c r="P4" s="613"/>
      <c r="Q4" s="613"/>
      <c r="R4" s="613"/>
      <c r="S4" s="613"/>
      <c r="T4" s="613"/>
      <c r="U4" s="613"/>
      <c r="V4" s="613"/>
      <c r="W4" s="613"/>
      <c r="X4" s="613"/>
      <c r="Y4" s="613"/>
      <c r="Z4" s="613"/>
      <c r="AA4" s="613"/>
      <c r="AB4" s="613"/>
      <c r="AC4" s="613"/>
      <c r="AD4" s="613"/>
      <c r="AE4" s="613"/>
      <c r="AF4" s="613"/>
      <c r="AG4" s="613"/>
      <c r="AH4" s="613"/>
      <c r="AI4" s="613"/>
      <c r="AJ4" s="613"/>
      <c r="AK4" s="613"/>
      <c r="AL4" s="613"/>
      <c r="AM4" s="613"/>
      <c r="AN4" s="613"/>
      <c r="AO4" s="613"/>
      <c r="AP4" s="613"/>
      <c r="AQ4" s="613"/>
      <c r="AR4" s="614"/>
      <c r="AT4" s="21"/>
    </row>
    <row r="5" spans="1:46" ht="15" customHeight="1">
      <c r="A5" s="73"/>
      <c r="B5" s="615"/>
      <c r="C5" s="616"/>
      <c r="D5" s="616"/>
      <c r="E5" s="616"/>
      <c r="F5" s="616"/>
      <c r="G5" s="616"/>
      <c r="H5" s="616"/>
      <c r="I5" s="616"/>
      <c r="J5" s="616"/>
      <c r="K5" s="616"/>
      <c r="L5" s="616"/>
      <c r="M5" s="616"/>
      <c r="N5" s="616"/>
      <c r="O5" s="616"/>
      <c r="P5" s="616"/>
      <c r="Q5" s="616"/>
      <c r="R5" s="616"/>
      <c r="S5" s="616"/>
      <c r="T5" s="616"/>
      <c r="U5" s="616"/>
      <c r="V5" s="616"/>
      <c r="W5" s="616"/>
      <c r="X5" s="616"/>
      <c r="Y5" s="616"/>
      <c r="Z5" s="616"/>
      <c r="AA5" s="616"/>
      <c r="AB5" s="616"/>
      <c r="AC5" s="616"/>
      <c r="AD5" s="616"/>
      <c r="AE5" s="616"/>
      <c r="AF5" s="616"/>
      <c r="AG5" s="616"/>
      <c r="AH5" s="616"/>
      <c r="AI5" s="616"/>
      <c r="AJ5" s="616"/>
      <c r="AK5" s="616"/>
      <c r="AL5" s="616"/>
      <c r="AM5" s="616"/>
      <c r="AN5" s="616"/>
      <c r="AO5" s="616"/>
      <c r="AP5" s="616"/>
      <c r="AQ5" s="616"/>
      <c r="AR5" s="617"/>
      <c r="AT5" s="21"/>
    </row>
    <row r="6" spans="1:46" ht="15" customHeight="1">
      <c r="A6" s="73"/>
      <c r="B6" s="615"/>
      <c r="C6" s="616"/>
      <c r="D6" s="616"/>
      <c r="E6" s="616"/>
      <c r="F6" s="616"/>
      <c r="G6" s="616"/>
      <c r="H6" s="616"/>
      <c r="I6" s="616"/>
      <c r="J6" s="616"/>
      <c r="K6" s="616"/>
      <c r="L6" s="616"/>
      <c r="M6" s="616"/>
      <c r="N6" s="616"/>
      <c r="O6" s="616"/>
      <c r="P6" s="616"/>
      <c r="Q6" s="616"/>
      <c r="R6" s="616"/>
      <c r="S6" s="616"/>
      <c r="T6" s="616"/>
      <c r="U6" s="616"/>
      <c r="V6" s="616"/>
      <c r="W6" s="616"/>
      <c r="X6" s="616"/>
      <c r="Y6" s="616"/>
      <c r="Z6" s="616"/>
      <c r="AA6" s="616"/>
      <c r="AB6" s="616"/>
      <c r="AC6" s="616"/>
      <c r="AD6" s="616"/>
      <c r="AE6" s="616"/>
      <c r="AF6" s="616"/>
      <c r="AG6" s="616"/>
      <c r="AH6" s="616"/>
      <c r="AI6" s="616"/>
      <c r="AJ6" s="616"/>
      <c r="AK6" s="616"/>
      <c r="AL6" s="616"/>
      <c r="AM6" s="616"/>
      <c r="AN6" s="616"/>
      <c r="AO6" s="616"/>
      <c r="AP6" s="616"/>
      <c r="AQ6" s="616"/>
      <c r="AR6" s="617"/>
      <c r="AT6" s="21"/>
    </row>
    <row r="7" spans="1:46" ht="15" customHeight="1">
      <c r="A7" s="73"/>
      <c r="B7" s="615"/>
      <c r="C7" s="616"/>
      <c r="D7" s="616"/>
      <c r="E7" s="616"/>
      <c r="F7" s="616"/>
      <c r="G7" s="616"/>
      <c r="H7" s="616"/>
      <c r="I7" s="616"/>
      <c r="J7" s="616"/>
      <c r="K7" s="616"/>
      <c r="L7" s="616"/>
      <c r="M7" s="616"/>
      <c r="N7" s="616"/>
      <c r="O7" s="616"/>
      <c r="P7" s="616"/>
      <c r="Q7" s="616"/>
      <c r="R7" s="616"/>
      <c r="S7" s="616"/>
      <c r="T7" s="616"/>
      <c r="U7" s="616"/>
      <c r="V7" s="616"/>
      <c r="W7" s="616"/>
      <c r="X7" s="616"/>
      <c r="Y7" s="616"/>
      <c r="Z7" s="616"/>
      <c r="AA7" s="616"/>
      <c r="AB7" s="616"/>
      <c r="AC7" s="616"/>
      <c r="AD7" s="616"/>
      <c r="AE7" s="616"/>
      <c r="AF7" s="616"/>
      <c r="AG7" s="616"/>
      <c r="AH7" s="616"/>
      <c r="AI7" s="616"/>
      <c r="AJ7" s="616"/>
      <c r="AK7" s="616"/>
      <c r="AL7" s="616"/>
      <c r="AM7" s="616"/>
      <c r="AN7" s="616"/>
      <c r="AO7" s="616"/>
      <c r="AP7" s="616"/>
      <c r="AQ7" s="616"/>
      <c r="AR7" s="617"/>
      <c r="AS7" s="582"/>
      <c r="AT7" s="583"/>
    </row>
    <row r="8" spans="1:46" ht="15" customHeight="1">
      <c r="A8" s="73"/>
      <c r="B8" s="615"/>
      <c r="C8" s="616"/>
      <c r="D8" s="616"/>
      <c r="E8" s="616"/>
      <c r="F8" s="616"/>
      <c r="G8" s="616"/>
      <c r="H8" s="616"/>
      <c r="I8" s="616"/>
      <c r="J8" s="616"/>
      <c r="K8" s="616"/>
      <c r="L8" s="616"/>
      <c r="M8" s="616"/>
      <c r="N8" s="616"/>
      <c r="O8" s="616"/>
      <c r="P8" s="616"/>
      <c r="Q8" s="616"/>
      <c r="R8" s="616"/>
      <c r="S8" s="616"/>
      <c r="T8" s="616"/>
      <c r="U8" s="616"/>
      <c r="V8" s="616"/>
      <c r="W8" s="616"/>
      <c r="X8" s="616"/>
      <c r="Y8" s="616"/>
      <c r="Z8" s="616"/>
      <c r="AA8" s="616"/>
      <c r="AB8" s="616"/>
      <c r="AC8" s="616"/>
      <c r="AD8" s="616"/>
      <c r="AE8" s="616"/>
      <c r="AF8" s="616"/>
      <c r="AG8" s="616"/>
      <c r="AH8" s="616"/>
      <c r="AI8" s="616"/>
      <c r="AJ8" s="616"/>
      <c r="AK8" s="616"/>
      <c r="AL8" s="616"/>
      <c r="AM8" s="616"/>
      <c r="AN8" s="616"/>
      <c r="AO8" s="616"/>
      <c r="AP8" s="616"/>
      <c r="AQ8" s="616"/>
      <c r="AR8" s="617"/>
      <c r="AS8" s="562"/>
      <c r="AT8" s="584"/>
    </row>
    <row r="9" spans="1:46" ht="15" customHeight="1">
      <c r="A9" s="73"/>
      <c r="B9" s="615"/>
      <c r="C9" s="616"/>
      <c r="D9" s="616"/>
      <c r="E9" s="616"/>
      <c r="F9" s="616"/>
      <c r="G9" s="616"/>
      <c r="H9" s="616"/>
      <c r="I9" s="616"/>
      <c r="J9" s="616"/>
      <c r="K9" s="616"/>
      <c r="L9" s="616"/>
      <c r="M9" s="616"/>
      <c r="N9" s="616"/>
      <c r="O9" s="616"/>
      <c r="P9" s="616"/>
      <c r="Q9" s="616"/>
      <c r="R9" s="616"/>
      <c r="S9" s="616"/>
      <c r="T9" s="616"/>
      <c r="U9" s="616"/>
      <c r="V9" s="616"/>
      <c r="W9" s="616"/>
      <c r="X9" s="616"/>
      <c r="Y9" s="616"/>
      <c r="Z9" s="616"/>
      <c r="AA9" s="616"/>
      <c r="AB9" s="616"/>
      <c r="AC9" s="616"/>
      <c r="AD9" s="616"/>
      <c r="AE9" s="616"/>
      <c r="AF9" s="616"/>
      <c r="AG9" s="616"/>
      <c r="AH9" s="616"/>
      <c r="AI9" s="616"/>
      <c r="AJ9" s="616"/>
      <c r="AK9" s="616"/>
      <c r="AL9" s="616"/>
      <c r="AM9" s="616"/>
      <c r="AN9" s="616"/>
      <c r="AO9" s="616"/>
      <c r="AP9" s="616"/>
      <c r="AQ9" s="616"/>
      <c r="AR9" s="617"/>
      <c r="AS9" s="562"/>
      <c r="AT9" s="584"/>
    </row>
    <row r="10" spans="1:46" ht="15" customHeight="1">
      <c r="A10" s="73"/>
      <c r="B10" s="615"/>
      <c r="C10" s="616"/>
      <c r="D10" s="616"/>
      <c r="E10" s="616"/>
      <c r="F10" s="616"/>
      <c r="G10" s="616"/>
      <c r="H10" s="616"/>
      <c r="I10" s="616"/>
      <c r="J10" s="616"/>
      <c r="K10" s="616"/>
      <c r="L10" s="616"/>
      <c r="M10" s="616"/>
      <c r="N10" s="616"/>
      <c r="O10" s="616"/>
      <c r="P10" s="616"/>
      <c r="Q10" s="616"/>
      <c r="R10" s="616"/>
      <c r="S10" s="616"/>
      <c r="T10" s="616"/>
      <c r="U10" s="616"/>
      <c r="V10" s="616"/>
      <c r="W10" s="616"/>
      <c r="X10" s="616"/>
      <c r="Y10" s="616"/>
      <c r="Z10" s="616"/>
      <c r="AA10" s="616"/>
      <c r="AB10" s="616"/>
      <c r="AC10" s="616"/>
      <c r="AD10" s="616"/>
      <c r="AE10" s="616"/>
      <c r="AF10" s="616"/>
      <c r="AG10" s="616"/>
      <c r="AH10" s="616"/>
      <c r="AI10" s="616"/>
      <c r="AJ10" s="616"/>
      <c r="AK10" s="616"/>
      <c r="AL10" s="616"/>
      <c r="AM10" s="616"/>
      <c r="AN10" s="616"/>
      <c r="AO10" s="616"/>
      <c r="AP10" s="616"/>
      <c r="AQ10" s="616"/>
      <c r="AR10" s="617"/>
      <c r="AS10" s="562"/>
      <c r="AT10" s="584"/>
    </row>
    <row r="11" spans="1:46" ht="15" customHeight="1">
      <c r="A11" s="73"/>
      <c r="B11" s="615"/>
      <c r="C11" s="616"/>
      <c r="D11" s="616"/>
      <c r="E11" s="616"/>
      <c r="F11" s="616"/>
      <c r="G11" s="616"/>
      <c r="H11" s="616"/>
      <c r="I11" s="616"/>
      <c r="J11" s="616"/>
      <c r="K11" s="616"/>
      <c r="L11" s="616"/>
      <c r="M11" s="616"/>
      <c r="N11" s="616"/>
      <c r="O11" s="616"/>
      <c r="P11" s="616"/>
      <c r="Q11" s="616"/>
      <c r="R11" s="616"/>
      <c r="S11" s="616"/>
      <c r="T11" s="616"/>
      <c r="U11" s="616"/>
      <c r="V11" s="616"/>
      <c r="W11" s="616"/>
      <c r="X11" s="616"/>
      <c r="Y11" s="616"/>
      <c r="Z11" s="616"/>
      <c r="AA11" s="616"/>
      <c r="AB11" s="616"/>
      <c r="AC11" s="616"/>
      <c r="AD11" s="616"/>
      <c r="AE11" s="616"/>
      <c r="AF11" s="616"/>
      <c r="AG11" s="616"/>
      <c r="AH11" s="616"/>
      <c r="AI11" s="616"/>
      <c r="AJ11" s="616"/>
      <c r="AK11" s="616"/>
      <c r="AL11" s="616"/>
      <c r="AM11" s="616"/>
      <c r="AN11" s="616"/>
      <c r="AO11" s="616"/>
      <c r="AP11" s="616"/>
      <c r="AQ11" s="616"/>
      <c r="AR11" s="617"/>
      <c r="AS11" s="562"/>
      <c r="AT11" s="584"/>
    </row>
    <row r="12" spans="1:46" ht="15" customHeight="1">
      <c r="A12" s="73"/>
      <c r="B12" s="615"/>
      <c r="C12" s="616"/>
      <c r="D12" s="616"/>
      <c r="E12" s="616"/>
      <c r="F12" s="616"/>
      <c r="G12" s="616"/>
      <c r="H12" s="616"/>
      <c r="I12" s="616"/>
      <c r="J12" s="616"/>
      <c r="K12" s="616"/>
      <c r="L12" s="616"/>
      <c r="M12" s="616"/>
      <c r="N12" s="616"/>
      <c r="O12" s="616"/>
      <c r="P12" s="616"/>
      <c r="Q12" s="616"/>
      <c r="R12" s="616"/>
      <c r="S12" s="616"/>
      <c r="T12" s="616"/>
      <c r="U12" s="616"/>
      <c r="V12" s="616"/>
      <c r="W12" s="616"/>
      <c r="X12" s="616"/>
      <c r="Y12" s="616"/>
      <c r="Z12" s="616"/>
      <c r="AA12" s="616"/>
      <c r="AB12" s="616"/>
      <c r="AC12" s="616"/>
      <c r="AD12" s="616"/>
      <c r="AE12" s="616"/>
      <c r="AF12" s="616"/>
      <c r="AG12" s="616"/>
      <c r="AH12" s="616"/>
      <c r="AI12" s="616"/>
      <c r="AJ12" s="616"/>
      <c r="AK12" s="616"/>
      <c r="AL12" s="616"/>
      <c r="AM12" s="616"/>
      <c r="AN12" s="616"/>
      <c r="AO12" s="616"/>
      <c r="AP12" s="616"/>
      <c r="AQ12" s="616"/>
      <c r="AR12" s="617"/>
      <c r="AS12" s="562"/>
      <c r="AT12" s="584"/>
    </row>
    <row r="13" spans="1:46" ht="15" customHeight="1">
      <c r="A13" s="73"/>
      <c r="B13" s="615"/>
      <c r="C13" s="616"/>
      <c r="D13" s="616"/>
      <c r="E13" s="616"/>
      <c r="F13" s="616"/>
      <c r="G13" s="616"/>
      <c r="H13" s="616"/>
      <c r="I13" s="616"/>
      <c r="J13" s="616"/>
      <c r="K13" s="616"/>
      <c r="L13" s="616"/>
      <c r="M13" s="616"/>
      <c r="N13" s="616"/>
      <c r="O13" s="616"/>
      <c r="P13" s="616"/>
      <c r="Q13" s="616"/>
      <c r="R13" s="616"/>
      <c r="S13" s="616"/>
      <c r="T13" s="616"/>
      <c r="U13" s="616"/>
      <c r="V13" s="616"/>
      <c r="W13" s="616"/>
      <c r="X13" s="616"/>
      <c r="Y13" s="616"/>
      <c r="Z13" s="616"/>
      <c r="AA13" s="616"/>
      <c r="AB13" s="616"/>
      <c r="AC13" s="616"/>
      <c r="AD13" s="616"/>
      <c r="AE13" s="616"/>
      <c r="AF13" s="616"/>
      <c r="AG13" s="616"/>
      <c r="AH13" s="616"/>
      <c r="AI13" s="616"/>
      <c r="AJ13" s="616"/>
      <c r="AK13" s="616"/>
      <c r="AL13" s="616"/>
      <c r="AM13" s="616"/>
      <c r="AN13" s="616"/>
      <c r="AO13" s="616"/>
      <c r="AP13" s="616"/>
      <c r="AQ13" s="616"/>
      <c r="AR13" s="617"/>
      <c r="AS13" s="562"/>
      <c r="AT13" s="584"/>
    </row>
    <row r="14" spans="1:46" ht="15" customHeight="1">
      <c r="A14" s="73"/>
      <c r="B14" s="615"/>
      <c r="C14" s="616"/>
      <c r="D14" s="616"/>
      <c r="E14" s="616"/>
      <c r="F14" s="616"/>
      <c r="G14" s="616"/>
      <c r="H14" s="616"/>
      <c r="I14" s="616"/>
      <c r="J14" s="616"/>
      <c r="K14" s="616"/>
      <c r="L14" s="616"/>
      <c r="M14" s="616"/>
      <c r="N14" s="616"/>
      <c r="O14" s="616"/>
      <c r="P14" s="616"/>
      <c r="Q14" s="616"/>
      <c r="R14" s="616"/>
      <c r="S14" s="616"/>
      <c r="T14" s="616"/>
      <c r="U14" s="616"/>
      <c r="V14" s="616"/>
      <c r="W14" s="616"/>
      <c r="X14" s="616"/>
      <c r="Y14" s="616"/>
      <c r="Z14" s="616"/>
      <c r="AA14" s="616"/>
      <c r="AB14" s="616"/>
      <c r="AC14" s="616"/>
      <c r="AD14" s="616"/>
      <c r="AE14" s="616"/>
      <c r="AF14" s="616"/>
      <c r="AG14" s="616"/>
      <c r="AH14" s="616"/>
      <c r="AI14" s="616"/>
      <c r="AJ14" s="616"/>
      <c r="AK14" s="616"/>
      <c r="AL14" s="616"/>
      <c r="AM14" s="616"/>
      <c r="AN14" s="616"/>
      <c r="AO14" s="616"/>
      <c r="AP14" s="616"/>
      <c r="AQ14" s="616"/>
      <c r="AR14" s="617"/>
      <c r="AT14" s="21"/>
    </row>
    <row r="15" spans="1:46" ht="15" customHeight="1">
      <c r="A15" s="73"/>
      <c r="B15" s="615"/>
      <c r="C15" s="616"/>
      <c r="D15" s="616"/>
      <c r="E15" s="616"/>
      <c r="F15" s="616"/>
      <c r="G15" s="616"/>
      <c r="H15" s="616"/>
      <c r="I15" s="616"/>
      <c r="J15" s="616"/>
      <c r="K15" s="616"/>
      <c r="L15" s="616"/>
      <c r="M15" s="616"/>
      <c r="N15" s="616"/>
      <c r="O15" s="616"/>
      <c r="P15" s="616"/>
      <c r="Q15" s="616"/>
      <c r="R15" s="616"/>
      <c r="S15" s="616"/>
      <c r="T15" s="616"/>
      <c r="U15" s="616"/>
      <c r="V15" s="616"/>
      <c r="W15" s="616"/>
      <c r="X15" s="616"/>
      <c r="Y15" s="616"/>
      <c r="Z15" s="616"/>
      <c r="AA15" s="616"/>
      <c r="AB15" s="616"/>
      <c r="AC15" s="616"/>
      <c r="AD15" s="616"/>
      <c r="AE15" s="616"/>
      <c r="AF15" s="616"/>
      <c r="AG15" s="616"/>
      <c r="AH15" s="616"/>
      <c r="AI15" s="616"/>
      <c r="AJ15" s="616"/>
      <c r="AK15" s="616"/>
      <c r="AL15" s="616"/>
      <c r="AM15" s="616"/>
      <c r="AN15" s="616"/>
      <c r="AO15" s="616"/>
      <c r="AP15" s="616"/>
      <c r="AQ15" s="616"/>
      <c r="AR15" s="617"/>
      <c r="AT15" s="21"/>
    </row>
    <row r="16" spans="1:46" ht="15" customHeight="1">
      <c r="A16" s="73"/>
      <c r="B16" s="615"/>
      <c r="C16" s="616"/>
      <c r="D16" s="616"/>
      <c r="E16" s="616"/>
      <c r="F16" s="616"/>
      <c r="G16" s="616"/>
      <c r="H16" s="616"/>
      <c r="I16" s="616"/>
      <c r="J16" s="616"/>
      <c r="K16" s="616"/>
      <c r="L16" s="616"/>
      <c r="M16" s="616"/>
      <c r="N16" s="616"/>
      <c r="O16" s="616"/>
      <c r="P16" s="616"/>
      <c r="Q16" s="616"/>
      <c r="R16" s="616"/>
      <c r="S16" s="616"/>
      <c r="T16" s="616"/>
      <c r="U16" s="616"/>
      <c r="V16" s="616"/>
      <c r="W16" s="616"/>
      <c r="X16" s="616"/>
      <c r="Y16" s="616"/>
      <c r="Z16" s="616"/>
      <c r="AA16" s="616"/>
      <c r="AB16" s="616"/>
      <c r="AC16" s="616"/>
      <c r="AD16" s="616"/>
      <c r="AE16" s="616"/>
      <c r="AF16" s="616"/>
      <c r="AG16" s="616"/>
      <c r="AH16" s="616"/>
      <c r="AI16" s="616"/>
      <c r="AJ16" s="616"/>
      <c r="AK16" s="616"/>
      <c r="AL16" s="616"/>
      <c r="AM16" s="616"/>
      <c r="AN16" s="616"/>
      <c r="AO16" s="616"/>
      <c r="AP16" s="616"/>
      <c r="AQ16" s="616"/>
      <c r="AR16" s="617"/>
      <c r="AT16" s="21"/>
    </row>
    <row r="17" spans="1:46" ht="15" customHeight="1">
      <c r="A17" s="73"/>
      <c r="B17" s="615"/>
      <c r="C17" s="616"/>
      <c r="D17" s="616"/>
      <c r="E17" s="616"/>
      <c r="F17" s="616"/>
      <c r="G17" s="616"/>
      <c r="H17" s="616"/>
      <c r="I17" s="616"/>
      <c r="J17" s="616"/>
      <c r="K17" s="616"/>
      <c r="L17" s="616"/>
      <c r="M17" s="616"/>
      <c r="N17" s="616"/>
      <c r="O17" s="616"/>
      <c r="P17" s="616"/>
      <c r="Q17" s="616"/>
      <c r="R17" s="616"/>
      <c r="S17" s="616"/>
      <c r="T17" s="616"/>
      <c r="U17" s="616"/>
      <c r="V17" s="616"/>
      <c r="W17" s="616"/>
      <c r="X17" s="616"/>
      <c r="Y17" s="616"/>
      <c r="Z17" s="616"/>
      <c r="AA17" s="616"/>
      <c r="AB17" s="616"/>
      <c r="AC17" s="616"/>
      <c r="AD17" s="616"/>
      <c r="AE17" s="616"/>
      <c r="AF17" s="616"/>
      <c r="AG17" s="616"/>
      <c r="AH17" s="616"/>
      <c r="AI17" s="616"/>
      <c r="AJ17" s="616"/>
      <c r="AK17" s="616"/>
      <c r="AL17" s="616"/>
      <c r="AM17" s="616"/>
      <c r="AN17" s="616"/>
      <c r="AO17" s="616"/>
      <c r="AP17" s="616"/>
      <c r="AQ17" s="616"/>
      <c r="AR17" s="617"/>
      <c r="AT17" s="21"/>
    </row>
    <row r="18" spans="1:46" ht="15" customHeight="1">
      <c r="A18" s="73"/>
      <c r="B18" s="615"/>
      <c r="C18" s="616"/>
      <c r="D18" s="616"/>
      <c r="E18" s="616"/>
      <c r="F18" s="616"/>
      <c r="G18" s="616"/>
      <c r="H18" s="616"/>
      <c r="I18" s="616"/>
      <c r="J18" s="616"/>
      <c r="K18" s="616"/>
      <c r="L18" s="616"/>
      <c r="M18" s="616"/>
      <c r="N18" s="616"/>
      <c r="O18" s="616"/>
      <c r="P18" s="616"/>
      <c r="Q18" s="616"/>
      <c r="R18" s="616"/>
      <c r="S18" s="616"/>
      <c r="T18" s="616"/>
      <c r="U18" s="616"/>
      <c r="V18" s="616"/>
      <c r="W18" s="616"/>
      <c r="X18" s="616"/>
      <c r="Y18" s="616"/>
      <c r="Z18" s="616"/>
      <c r="AA18" s="616"/>
      <c r="AB18" s="616"/>
      <c r="AC18" s="616"/>
      <c r="AD18" s="616"/>
      <c r="AE18" s="616"/>
      <c r="AF18" s="616"/>
      <c r="AG18" s="616"/>
      <c r="AH18" s="616"/>
      <c r="AI18" s="616"/>
      <c r="AJ18" s="616"/>
      <c r="AK18" s="616"/>
      <c r="AL18" s="616"/>
      <c r="AM18" s="616"/>
      <c r="AN18" s="616"/>
      <c r="AO18" s="616"/>
      <c r="AP18" s="616"/>
      <c r="AQ18" s="616"/>
      <c r="AR18" s="617"/>
      <c r="AS18" s="24"/>
      <c r="AT18" s="232"/>
    </row>
    <row r="19" spans="1:46" ht="15" customHeight="1">
      <c r="A19" s="73"/>
      <c r="B19" s="615"/>
      <c r="C19" s="616"/>
      <c r="D19" s="616"/>
      <c r="E19" s="616"/>
      <c r="F19" s="616"/>
      <c r="G19" s="616"/>
      <c r="H19" s="616"/>
      <c r="I19" s="616"/>
      <c r="J19" s="616"/>
      <c r="K19" s="616"/>
      <c r="L19" s="616"/>
      <c r="M19" s="616"/>
      <c r="N19" s="616"/>
      <c r="O19" s="616"/>
      <c r="P19" s="616"/>
      <c r="Q19" s="616"/>
      <c r="R19" s="616"/>
      <c r="S19" s="616"/>
      <c r="T19" s="616"/>
      <c r="U19" s="616"/>
      <c r="V19" s="616"/>
      <c r="W19" s="616"/>
      <c r="X19" s="616"/>
      <c r="Y19" s="616"/>
      <c r="Z19" s="616"/>
      <c r="AA19" s="616"/>
      <c r="AB19" s="616"/>
      <c r="AC19" s="616"/>
      <c r="AD19" s="616"/>
      <c r="AE19" s="616"/>
      <c r="AF19" s="616"/>
      <c r="AG19" s="616"/>
      <c r="AH19" s="616"/>
      <c r="AI19" s="616"/>
      <c r="AJ19" s="616"/>
      <c r="AK19" s="616"/>
      <c r="AL19" s="616"/>
      <c r="AM19" s="616"/>
      <c r="AN19" s="616"/>
      <c r="AO19" s="616"/>
      <c r="AP19" s="616"/>
      <c r="AQ19" s="616"/>
      <c r="AR19" s="617"/>
      <c r="AS19" s="562"/>
      <c r="AT19" s="584"/>
    </row>
    <row r="20" spans="1:46" ht="15" customHeight="1">
      <c r="A20" s="73"/>
      <c r="B20" s="615"/>
      <c r="C20" s="616"/>
      <c r="D20" s="616"/>
      <c r="E20" s="616"/>
      <c r="F20" s="616"/>
      <c r="G20" s="616"/>
      <c r="H20" s="616"/>
      <c r="I20" s="616"/>
      <c r="J20" s="616"/>
      <c r="K20" s="616"/>
      <c r="L20" s="616"/>
      <c r="M20" s="616"/>
      <c r="N20" s="616"/>
      <c r="O20" s="616"/>
      <c r="P20" s="616"/>
      <c r="Q20" s="616"/>
      <c r="R20" s="616"/>
      <c r="S20" s="616"/>
      <c r="T20" s="616"/>
      <c r="U20" s="616"/>
      <c r="V20" s="616"/>
      <c r="W20" s="616"/>
      <c r="X20" s="616"/>
      <c r="Y20" s="616"/>
      <c r="Z20" s="616"/>
      <c r="AA20" s="616"/>
      <c r="AB20" s="616"/>
      <c r="AC20" s="616"/>
      <c r="AD20" s="616"/>
      <c r="AE20" s="616"/>
      <c r="AF20" s="616"/>
      <c r="AG20" s="616"/>
      <c r="AH20" s="616"/>
      <c r="AI20" s="616"/>
      <c r="AJ20" s="616"/>
      <c r="AK20" s="616"/>
      <c r="AL20" s="616"/>
      <c r="AM20" s="616"/>
      <c r="AN20" s="616"/>
      <c r="AO20" s="616"/>
      <c r="AP20" s="616"/>
      <c r="AQ20" s="616"/>
      <c r="AR20" s="617"/>
      <c r="AS20" s="562"/>
      <c r="AT20" s="584"/>
    </row>
    <row r="21" spans="1:46" ht="15" customHeight="1">
      <c r="A21" s="73"/>
      <c r="B21" s="615"/>
      <c r="C21" s="616"/>
      <c r="D21" s="616"/>
      <c r="E21" s="616"/>
      <c r="F21" s="616"/>
      <c r="G21" s="616"/>
      <c r="H21" s="616"/>
      <c r="I21" s="616"/>
      <c r="J21" s="616"/>
      <c r="K21" s="616"/>
      <c r="L21" s="616"/>
      <c r="M21" s="616"/>
      <c r="N21" s="616"/>
      <c r="O21" s="616"/>
      <c r="P21" s="616"/>
      <c r="Q21" s="616"/>
      <c r="R21" s="616"/>
      <c r="S21" s="616"/>
      <c r="T21" s="616"/>
      <c r="U21" s="616"/>
      <c r="V21" s="616"/>
      <c r="W21" s="616"/>
      <c r="X21" s="616"/>
      <c r="Y21" s="616"/>
      <c r="Z21" s="616"/>
      <c r="AA21" s="616"/>
      <c r="AB21" s="616"/>
      <c r="AC21" s="616"/>
      <c r="AD21" s="616"/>
      <c r="AE21" s="616"/>
      <c r="AF21" s="616"/>
      <c r="AG21" s="616"/>
      <c r="AH21" s="616"/>
      <c r="AI21" s="616"/>
      <c r="AJ21" s="616"/>
      <c r="AK21" s="616"/>
      <c r="AL21" s="616"/>
      <c r="AM21" s="616"/>
      <c r="AN21" s="616"/>
      <c r="AO21" s="616"/>
      <c r="AP21" s="616"/>
      <c r="AQ21" s="616"/>
      <c r="AR21" s="617"/>
      <c r="AS21" s="562"/>
      <c r="AT21" s="584"/>
    </row>
    <row r="22" spans="1:46" ht="15" customHeight="1">
      <c r="A22" s="73"/>
      <c r="B22" s="615"/>
      <c r="C22" s="616"/>
      <c r="D22" s="616"/>
      <c r="E22" s="616"/>
      <c r="F22" s="616"/>
      <c r="G22" s="616"/>
      <c r="H22" s="616"/>
      <c r="I22" s="616"/>
      <c r="J22" s="616"/>
      <c r="K22" s="616"/>
      <c r="L22" s="616"/>
      <c r="M22" s="616"/>
      <c r="N22" s="616"/>
      <c r="O22" s="616"/>
      <c r="P22" s="616"/>
      <c r="Q22" s="616"/>
      <c r="R22" s="616"/>
      <c r="S22" s="616"/>
      <c r="T22" s="616"/>
      <c r="U22" s="616"/>
      <c r="V22" s="616"/>
      <c r="W22" s="616"/>
      <c r="X22" s="616"/>
      <c r="Y22" s="616"/>
      <c r="Z22" s="616"/>
      <c r="AA22" s="616"/>
      <c r="AB22" s="616"/>
      <c r="AC22" s="616"/>
      <c r="AD22" s="616"/>
      <c r="AE22" s="616"/>
      <c r="AF22" s="616"/>
      <c r="AG22" s="616"/>
      <c r="AH22" s="616"/>
      <c r="AI22" s="616"/>
      <c r="AJ22" s="616"/>
      <c r="AK22" s="616"/>
      <c r="AL22" s="616"/>
      <c r="AM22" s="616"/>
      <c r="AN22" s="616"/>
      <c r="AO22" s="616"/>
      <c r="AP22" s="616"/>
      <c r="AQ22" s="616"/>
      <c r="AR22" s="617"/>
      <c r="AS22" s="562"/>
      <c r="AT22" s="584"/>
    </row>
    <row r="23" spans="1:46" ht="15" customHeight="1">
      <c r="A23" s="73"/>
      <c r="B23" s="615"/>
      <c r="C23" s="616"/>
      <c r="D23" s="616"/>
      <c r="E23" s="616"/>
      <c r="F23" s="616"/>
      <c r="G23" s="616"/>
      <c r="H23" s="616"/>
      <c r="I23" s="616"/>
      <c r="J23" s="616"/>
      <c r="K23" s="616"/>
      <c r="L23" s="616"/>
      <c r="M23" s="616"/>
      <c r="N23" s="616"/>
      <c r="O23" s="616"/>
      <c r="P23" s="616"/>
      <c r="Q23" s="616"/>
      <c r="R23" s="616"/>
      <c r="S23" s="616"/>
      <c r="T23" s="616"/>
      <c r="U23" s="616"/>
      <c r="V23" s="616"/>
      <c r="W23" s="616"/>
      <c r="X23" s="616"/>
      <c r="Y23" s="616"/>
      <c r="Z23" s="616"/>
      <c r="AA23" s="616"/>
      <c r="AB23" s="616"/>
      <c r="AC23" s="616"/>
      <c r="AD23" s="616"/>
      <c r="AE23" s="616"/>
      <c r="AF23" s="616"/>
      <c r="AG23" s="616"/>
      <c r="AH23" s="616"/>
      <c r="AI23" s="616"/>
      <c r="AJ23" s="616"/>
      <c r="AK23" s="616"/>
      <c r="AL23" s="616"/>
      <c r="AM23" s="616"/>
      <c r="AN23" s="616"/>
      <c r="AO23" s="616"/>
      <c r="AP23" s="616"/>
      <c r="AQ23" s="616"/>
      <c r="AR23" s="617"/>
      <c r="AS23" s="562"/>
      <c r="AT23" s="584"/>
    </row>
    <row r="24" spans="1:46" ht="15" customHeight="1">
      <c r="A24" s="73"/>
      <c r="B24" s="615"/>
      <c r="C24" s="616"/>
      <c r="D24" s="616"/>
      <c r="E24" s="616"/>
      <c r="F24" s="616"/>
      <c r="G24" s="616"/>
      <c r="H24" s="616"/>
      <c r="I24" s="616"/>
      <c r="J24" s="616"/>
      <c r="K24" s="616"/>
      <c r="L24" s="616"/>
      <c r="M24" s="616"/>
      <c r="N24" s="616"/>
      <c r="O24" s="616"/>
      <c r="P24" s="616"/>
      <c r="Q24" s="616"/>
      <c r="R24" s="616"/>
      <c r="S24" s="616"/>
      <c r="T24" s="616"/>
      <c r="U24" s="616"/>
      <c r="V24" s="616"/>
      <c r="W24" s="616"/>
      <c r="X24" s="616"/>
      <c r="Y24" s="616"/>
      <c r="Z24" s="616"/>
      <c r="AA24" s="616"/>
      <c r="AB24" s="616"/>
      <c r="AC24" s="616"/>
      <c r="AD24" s="616"/>
      <c r="AE24" s="616"/>
      <c r="AF24" s="616"/>
      <c r="AG24" s="616"/>
      <c r="AH24" s="616"/>
      <c r="AI24" s="616"/>
      <c r="AJ24" s="616"/>
      <c r="AK24" s="616"/>
      <c r="AL24" s="616"/>
      <c r="AM24" s="616"/>
      <c r="AN24" s="616"/>
      <c r="AO24" s="616"/>
      <c r="AP24" s="616"/>
      <c r="AQ24" s="616"/>
      <c r="AR24" s="617"/>
      <c r="AS24" s="562"/>
      <c r="AT24" s="584"/>
    </row>
    <row r="25" spans="1:46" ht="15" customHeight="1">
      <c r="A25" s="73"/>
      <c r="B25" s="615"/>
      <c r="C25" s="616"/>
      <c r="D25" s="616"/>
      <c r="E25" s="616"/>
      <c r="F25" s="616"/>
      <c r="G25" s="616"/>
      <c r="H25" s="616"/>
      <c r="I25" s="616"/>
      <c r="J25" s="616"/>
      <c r="K25" s="616"/>
      <c r="L25" s="616"/>
      <c r="M25" s="616"/>
      <c r="N25" s="616"/>
      <c r="O25" s="616"/>
      <c r="P25" s="616"/>
      <c r="Q25" s="616"/>
      <c r="R25" s="616"/>
      <c r="S25" s="616"/>
      <c r="T25" s="616"/>
      <c r="U25" s="616"/>
      <c r="V25" s="616"/>
      <c r="W25" s="616"/>
      <c r="X25" s="616"/>
      <c r="Y25" s="616"/>
      <c r="Z25" s="616"/>
      <c r="AA25" s="616"/>
      <c r="AB25" s="616"/>
      <c r="AC25" s="616"/>
      <c r="AD25" s="616"/>
      <c r="AE25" s="616"/>
      <c r="AF25" s="616"/>
      <c r="AG25" s="616"/>
      <c r="AH25" s="616"/>
      <c r="AI25" s="616"/>
      <c r="AJ25" s="616"/>
      <c r="AK25" s="616"/>
      <c r="AL25" s="616"/>
      <c r="AM25" s="616"/>
      <c r="AN25" s="616"/>
      <c r="AO25" s="616"/>
      <c r="AP25" s="616"/>
      <c r="AQ25" s="616"/>
      <c r="AR25" s="617"/>
      <c r="AS25" s="562"/>
      <c r="AT25" s="584"/>
    </row>
    <row r="26" spans="1:46" ht="15" customHeight="1">
      <c r="A26" s="73"/>
      <c r="B26" s="615"/>
      <c r="C26" s="616"/>
      <c r="D26" s="616"/>
      <c r="E26" s="616"/>
      <c r="F26" s="616"/>
      <c r="G26" s="616"/>
      <c r="H26" s="616"/>
      <c r="I26" s="616"/>
      <c r="J26" s="616"/>
      <c r="K26" s="616"/>
      <c r="L26" s="616"/>
      <c r="M26" s="616"/>
      <c r="N26" s="616"/>
      <c r="O26" s="616"/>
      <c r="P26" s="616"/>
      <c r="Q26" s="616"/>
      <c r="R26" s="616"/>
      <c r="S26" s="616"/>
      <c r="T26" s="616"/>
      <c r="U26" s="616"/>
      <c r="V26" s="616"/>
      <c r="W26" s="616"/>
      <c r="X26" s="616"/>
      <c r="Y26" s="616"/>
      <c r="Z26" s="616"/>
      <c r="AA26" s="616"/>
      <c r="AB26" s="616"/>
      <c r="AC26" s="616"/>
      <c r="AD26" s="616"/>
      <c r="AE26" s="616"/>
      <c r="AF26" s="616"/>
      <c r="AG26" s="616"/>
      <c r="AH26" s="616"/>
      <c r="AI26" s="616"/>
      <c r="AJ26" s="616"/>
      <c r="AK26" s="616"/>
      <c r="AL26" s="616"/>
      <c r="AM26" s="616"/>
      <c r="AN26" s="616"/>
      <c r="AO26" s="616"/>
      <c r="AP26" s="616"/>
      <c r="AQ26" s="616"/>
      <c r="AR26" s="617"/>
      <c r="AS26" s="562"/>
      <c r="AT26" s="584"/>
    </row>
    <row r="27" spans="1:46" ht="15" customHeight="1">
      <c r="A27" s="73"/>
      <c r="B27" s="615"/>
      <c r="C27" s="616"/>
      <c r="D27" s="616"/>
      <c r="E27" s="616"/>
      <c r="F27" s="616"/>
      <c r="G27" s="616"/>
      <c r="H27" s="616"/>
      <c r="I27" s="616"/>
      <c r="J27" s="616"/>
      <c r="K27" s="616"/>
      <c r="L27" s="616"/>
      <c r="M27" s="616"/>
      <c r="N27" s="616"/>
      <c r="O27" s="616"/>
      <c r="P27" s="616"/>
      <c r="Q27" s="616"/>
      <c r="R27" s="616"/>
      <c r="S27" s="616"/>
      <c r="T27" s="616"/>
      <c r="U27" s="616"/>
      <c r="V27" s="616"/>
      <c r="W27" s="616"/>
      <c r="X27" s="616"/>
      <c r="Y27" s="616"/>
      <c r="Z27" s="616"/>
      <c r="AA27" s="616"/>
      <c r="AB27" s="616"/>
      <c r="AC27" s="616"/>
      <c r="AD27" s="616"/>
      <c r="AE27" s="616"/>
      <c r="AF27" s="616"/>
      <c r="AG27" s="616"/>
      <c r="AH27" s="616"/>
      <c r="AI27" s="616"/>
      <c r="AJ27" s="616"/>
      <c r="AK27" s="616"/>
      <c r="AL27" s="616"/>
      <c r="AM27" s="616"/>
      <c r="AN27" s="616"/>
      <c r="AO27" s="616"/>
      <c r="AP27" s="616"/>
      <c r="AQ27" s="616"/>
      <c r="AR27" s="617"/>
      <c r="AS27" s="562"/>
      <c r="AT27" s="584"/>
    </row>
    <row r="28" spans="1:46" ht="15" customHeight="1">
      <c r="A28" s="73"/>
      <c r="B28" s="615"/>
      <c r="C28" s="616"/>
      <c r="D28" s="616"/>
      <c r="E28" s="616"/>
      <c r="F28" s="616"/>
      <c r="G28" s="616"/>
      <c r="H28" s="616"/>
      <c r="I28" s="616"/>
      <c r="J28" s="616"/>
      <c r="K28" s="616"/>
      <c r="L28" s="616"/>
      <c r="M28" s="616"/>
      <c r="N28" s="616"/>
      <c r="O28" s="616"/>
      <c r="P28" s="616"/>
      <c r="Q28" s="616"/>
      <c r="R28" s="616"/>
      <c r="S28" s="616"/>
      <c r="T28" s="616"/>
      <c r="U28" s="616"/>
      <c r="V28" s="616"/>
      <c r="W28" s="616"/>
      <c r="X28" s="616"/>
      <c r="Y28" s="616"/>
      <c r="Z28" s="616"/>
      <c r="AA28" s="616"/>
      <c r="AB28" s="616"/>
      <c r="AC28" s="616"/>
      <c r="AD28" s="616"/>
      <c r="AE28" s="616"/>
      <c r="AF28" s="616"/>
      <c r="AG28" s="616"/>
      <c r="AH28" s="616"/>
      <c r="AI28" s="616"/>
      <c r="AJ28" s="616"/>
      <c r="AK28" s="616"/>
      <c r="AL28" s="616"/>
      <c r="AM28" s="616"/>
      <c r="AN28" s="616"/>
      <c r="AO28" s="616"/>
      <c r="AP28" s="616"/>
      <c r="AQ28" s="616"/>
      <c r="AR28" s="617"/>
      <c r="AS28" s="562"/>
      <c r="AT28" s="584"/>
    </row>
    <row r="29" spans="1:46" ht="15" customHeight="1">
      <c r="A29" s="73"/>
      <c r="B29" s="615"/>
      <c r="C29" s="616"/>
      <c r="D29" s="616"/>
      <c r="E29" s="616"/>
      <c r="F29" s="616"/>
      <c r="G29" s="616"/>
      <c r="H29" s="616"/>
      <c r="I29" s="616"/>
      <c r="J29" s="616"/>
      <c r="K29" s="616"/>
      <c r="L29" s="616"/>
      <c r="M29" s="616"/>
      <c r="N29" s="616"/>
      <c r="O29" s="616"/>
      <c r="P29" s="616"/>
      <c r="Q29" s="616"/>
      <c r="R29" s="616"/>
      <c r="S29" s="616"/>
      <c r="T29" s="616"/>
      <c r="U29" s="616"/>
      <c r="V29" s="616"/>
      <c r="W29" s="616"/>
      <c r="X29" s="616"/>
      <c r="Y29" s="616"/>
      <c r="Z29" s="616"/>
      <c r="AA29" s="616"/>
      <c r="AB29" s="616"/>
      <c r="AC29" s="616"/>
      <c r="AD29" s="616"/>
      <c r="AE29" s="616"/>
      <c r="AF29" s="616"/>
      <c r="AG29" s="616"/>
      <c r="AH29" s="616"/>
      <c r="AI29" s="616"/>
      <c r="AJ29" s="616"/>
      <c r="AK29" s="616"/>
      <c r="AL29" s="616"/>
      <c r="AM29" s="616"/>
      <c r="AN29" s="616"/>
      <c r="AO29" s="616"/>
      <c r="AP29" s="616"/>
      <c r="AQ29" s="616"/>
      <c r="AR29" s="617"/>
      <c r="AS29" s="562"/>
      <c r="AT29" s="584"/>
    </row>
    <row r="30" spans="1:46" ht="15" customHeight="1">
      <c r="A30" s="73"/>
      <c r="B30" s="618"/>
      <c r="C30" s="619"/>
      <c r="D30" s="619"/>
      <c r="E30" s="619"/>
      <c r="F30" s="619"/>
      <c r="G30" s="619"/>
      <c r="H30" s="619"/>
      <c r="I30" s="619"/>
      <c r="J30" s="619"/>
      <c r="K30" s="619"/>
      <c r="L30" s="619"/>
      <c r="M30" s="619"/>
      <c r="N30" s="619"/>
      <c r="O30" s="619"/>
      <c r="P30" s="619"/>
      <c r="Q30" s="619"/>
      <c r="R30" s="619"/>
      <c r="S30" s="619"/>
      <c r="T30" s="619"/>
      <c r="U30" s="619"/>
      <c r="V30" s="619"/>
      <c r="W30" s="619"/>
      <c r="X30" s="619"/>
      <c r="Y30" s="619"/>
      <c r="Z30" s="619"/>
      <c r="AA30" s="619"/>
      <c r="AB30" s="619"/>
      <c r="AC30" s="619"/>
      <c r="AD30" s="619"/>
      <c r="AE30" s="619"/>
      <c r="AF30" s="619"/>
      <c r="AG30" s="619"/>
      <c r="AH30" s="619"/>
      <c r="AI30" s="619"/>
      <c r="AJ30" s="619"/>
      <c r="AK30" s="619"/>
      <c r="AL30" s="619"/>
      <c r="AM30" s="619"/>
      <c r="AN30" s="619"/>
      <c r="AO30" s="619"/>
      <c r="AP30" s="619"/>
      <c r="AQ30" s="619"/>
      <c r="AR30" s="620"/>
      <c r="AS30" s="562"/>
      <c r="AT30" s="584"/>
    </row>
    <row r="31" spans="1:46" ht="15" customHeight="1">
      <c r="A31" s="73"/>
      <c r="B31" s="610" t="s">
        <v>737</v>
      </c>
      <c r="C31" s="610"/>
      <c r="D31" s="610"/>
      <c r="E31" s="610"/>
      <c r="F31" s="610"/>
      <c r="G31" s="610"/>
      <c r="H31" s="610"/>
      <c r="I31" s="610"/>
      <c r="J31" s="610"/>
      <c r="K31" s="610"/>
      <c r="L31" s="610"/>
      <c r="M31" s="610"/>
      <c r="N31" s="610"/>
      <c r="O31" s="610"/>
      <c r="P31" s="610"/>
      <c r="Q31" s="610"/>
      <c r="R31" s="610"/>
      <c r="S31" s="610"/>
      <c r="T31" s="610"/>
      <c r="U31" s="610"/>
      <c r="V31" s="610"/>
      <c r="W31" s="610"/>
      <c r="X31" s="610"/>
      <c r="Y31" s="610"/>
      <c r="Z31" s="610"/>
      <c r="AA31" s="610"/>
      <c r="AB31" s="610"/>
      <c r="AC31" s="610"/>
      <c r="AD31" s="610"/>
      <c r="AE31" s="610"/>
      <c r="AF31" s="610"/>
      <c r="AG31" s="610"/>
      <c r="AH31" s="610"/>
      <c r="AI31" s="610"/>
      <c r="AJ31" s="610"/>
      <c r="AK31" s="610"/>
      <c r="AL31" s="610"/>
      <c r="AM31" s="610"/>
      <c r="AN31" s="610"/>
      <c r="AO31" s="610"/>
      <c r="AP31" s="610"/>
      <c r="AQ31" s="610"/>
      <c r="AR31" s="610"/>
      <c r="AS31" s="562"/>
      <c r="AT31" s="584"/>
    </row>
    <row r="32" spans="1:46" ht="15" customHeight="1">
      <c r="A32" s="73"/>
      <c r="B32" s="611"/>
      <c r="C32" s="611"/>
      <c r="D32" s="611"/>
      <c r="E32" s="611"/>
      <c r="F32" s="611"/>
      <c r="G32" s="611"/>
      <c r="H32" s="611"/>
      <c r="I32" s="611"/>
      <c r="J32" s="611"/>
      <c r="K32" s="611"/>
      <c r="L32" s="611"/>
      <c r="M32" s="611"/>
      <c r="N32" s="611"/>
      <c r="O32" s="611"/>
      <c r="P32" s="611"/>
      <c r="Q32" s="611"/>
      <c r="R32" s="611"/>
      <c r="S32" s="611"/>
      <c r="T32" s="611"/>
      <c r="U32" s="611"/>
      <c r="V32" s="611"/>
      <c r="W32" s="611"/>
      <c r="X32" s="611"/>
      <c r="Y32" s="611"/>
      <c r="Z32" s="611"/>
      <c r="AA32" s="611"/>
      <c r="AB32" s="611"/>
      <c r="AC32" s="611"/>
      <c r="AD32" s="611"/>
      <c r="AE32" s="611"/>
      <c r="AF32" s="611"/>
      <c r="AG32" s="611"/>
      <c r="AH32" s="611"/>
      <c r="AI32" s="611"/>
      <c r="AJ32" s="611"/>
      <c r="AK32" s="611"/>
      <c r="AL32" s="611"/>
      <c r="AM32" s="611"/>
      <c r="AN32" s="611"/>
      <c r="AO32" s="611"/>
      <c r="AP32" s="611"/>
      <c r="AQ32" s="611"/>
      <c r="AR32" s="611"/>
      <c r="AS32" s="562"/>
      <c r="AT32" s="584"/>
    </row>
    <row r="33" spans="1:46" ht="15" customHeight="1">
      <c r="A33" s="73"/>
      <c r="B33" s="611"/>
      <c r="C33" s="611"/>
      <c r="D33" s="611"/>
      <c r="E33" s="611"/>
      <c r="F33" s="611"/>
      <c r="G33" s="611"/>
      <c r="H33" s="611"/>
      <c r="I33" s="611"/>
      <c r="J33" s="611"/>
      <c r="K33" s="611"/>
      <c r="L33" s="611"/>
      <c r="M33" s="611"/>
      <c r="N33" s="611"/>
      <c r="O33" s="611"/>
      <c r="P33" s="611"/>
      <c r="Q33" s="611"/>
      <c r="R33" s="611"/>
      <c r="S33" s="611"/>
      <c r="T33" s="611"/>
      <c r="U33" s="611"/>
      <c r="V33" s="611"/>
      <c r="W33" s="611"/>
      <c r="X33" s="611"/>
      <c r="Y33" s="611"/>
      <c r="Z33" s="611"/>
      <c r="AA33" s="611"/>
      <c r="AB33" s="611"/>
      <c r="AC33" s="611"/>
      <c r="AD33" s="611"/>
      <c r="AE33" s="611"/>
      <c r="AF33" s="611"/>
      <c r="AG33" s="611"/>
      <c r="AH33" s="611"/>
      <c r="AI33" s="611"/>
      <c r="AJ33" s="611"/>
      <c r="AK33" s="611"/>
      <c r="AL33" s="611"/>
      <c r="AM33" s="611"/>
      <c r="AN33" s="611"/>
      <c r="AO33" s="611"/>
      <c r="AP33" s="611"/>
      <c r="AQ33" s="611"/>
      <c r="AR33" s="611"/>
      <c r="AS33" s="562"/>
      <c r="AT33" s="584"/>
    </row>
    <row r="34" spans="1:46" ht="15" customHeight="1">
      <c r="A34" s="73"/>
      <c r="B34" s="611"/>
      <c r="C34" s="611"/>
      <c r="D34" s="611"/>
      <c r="E34" s="611"/>
      <c r="F34" s="611"/>
      <c r="G34" s="611"/>
      <c r="H34" s="611"/>
      <c r="I34" s="611"/>
      <c r="J34" s="611"/>
      <c r="K34" s="611"/>
      <c r="L34" s="611"/>
      <c r="M34" s="611"/>
      <c r="N34" s="611"/>
      <c r="O34" s="611"/>
      <c r="P34" s="611"/>
      <c r="Q34" s="611"/>
      <c r="R34" s="611"/>
      <c r="S34" s="611"/>
      <c r="T34" s="611"/>
      <c r="U34" s="611"/>
      <c r="V34" s="611"/>
      <c r="W34" s="611"/>
      <c r="X34" s="611"/>
      <c r="Y34" s="611"/>
      <c r="Z34" s="611"/>
      <c r="AA34" s="611"/>
      <c r="AB34" s="611"/>
      <c r="AC34" s="611"/>
      <c r="AD34" s="611"/>
      <c r="AE34" s="611"/>
      <c r="AF34" s="611"/>
      <c r="AG34" s="611"/>
      <c r="AH34" s="611"/>
      <c r="AI34" s="611"/>
      <c r="AJ34" s="611"/>
      <c r="AK34" s="611"/>
      <c r="AL34" s="611"/>
      <c r="AM34" s="611"/>
      <c r="AN34" s="611"/>
      <c r="AO34" s="611"/>
      <c r="AP34" s="611"/>
      <c r="AQ34" s="611"/>
      <c r="AR34" s="611"/>
      <c r="AS34" s="562"/>
      <c r="AT34" s="584"/>
    </row>
    <row r="35" spans="1:46" ht="15" customHeight="1">
      <c r="A35" s="73"/>
      <c r="B35" s="611"/>
      <c r="C35" s="611"/>
      <c r="D35" s="611"/>
      <c r="E35" s="611"/>
      <c r="F35" s="611"/>
      <c r="G35" s="611"/>
      <c r="H35" s="611"/>
      <c r="I35" s="611"/>
      <c r="J35" s="611"/>
      <c r="K35" s="611"/>
      <c r="L35" s="611"/>
      <c r="M35" s="611"/>
      <c r="N35" s="611"/>
      <c r="O35" s="611"/>
      <c r="P35" s="611"/>
      <c r="Q35" s="611"/>
      <c r="R35" s="611"/>
      <c r="S35" s="611"/>
      <c r="T35" s="611"/>
      <c r="U35" s="611"/>
      <c r="V35" s="611"/>
      <c r="W35" s="611"/>
      <c r="X35" s="611"/>
      <c r="Y35" s="611"/>
      <c r="Z35" s="611"/>
      <c r="AA35" s="611"/>
      <c r="AB35" s="611"/>
      <c r="AC35" s="611"/>
      <c r="AD35" s="611"/>
      <c r="AE35" s="611"/>
      <c r="AF35" s="611"/>
      <c r="AG35" s="611"/>
      <c r="AH35" s="611"/>
      <c r="AI35" s="611"/>
      <c r="AJ35" s="611"/>
      <c r="AK35" s="611"/>
      <c r="AL35" s="611"/>
      <c r="AM35" s="611"/>
      <c r="AN35" s="611"/>
      <c r="AO35" s="611"/>
      <c r="AP35" s="611"/>
      <c r="AQ35" s="611"/>
      <c r="AR35" s="611"/>
      <c r="AT35" s="21"/>
    </row>
    <row r="36" spans="1:46" ht="15" customHeight="1">
      <c r="A36" s="73"/>
      <c r="B36" s="611"/>
      <c r="C36" s="611"/>
      <c r="D36" s="611"/>
      <c r="E36" s="611"/>
      <c r="F36" s="611"/>
      <c r="G36" s="611"/>
      <c r="H36" s="611"/>
      <c r="I36" s="611"/>
      <c r="J36" s="611"/>
      <c r="K36" s="611"/>
      <c r="L36" s="611"/>
      <c r="M36" s="611"/>
      <c r="N36" s="611"/>
      <c r="O36" s="611"/>
      <c r="P36" s="611"/>
      <c r="Q36" s="611"/>
      <c r="R36" s="611"/>
      <c r="S36" s="611"/>
      <c r="T36" s="611"/>
      <c r="U36" s="611"/>
      <c r="V36" s="611"/>
      <c r="W36" s="611"/>
      <c r="X36" s="611"/>
      <c r="Y36" s="611"/>
      <c r="Z36" s="611"/>
      <c r="AA36" s="611"/>
      <c r="AB36" s="611"/>
      <c r="AC36" s="611"/>
      <c r="AD36" s="611"/>
      <c r="AE36" s="611"/>
      <c r="AF36" s="611"/>
      <c r="AG36" s="611"/>
      <c r="AH36" s="611"/>
      <c r="AI36" s="611"/>
      <c r="AJ36" s="611"/>
      <c r="AK36" s="611"/>
      <c r="AL36" s="611"/>
      <c r="AM36" s="611"/>
      <c r="AN36" s="611"/>
      <c r="AO36" s="611"/>
      <c r="AP36" s="611"/>
      <c r="AQ36" s="611"/>
      <c r="AR36" s="611"/>
      <c r="AT36" s="21"/>
    </row>
    <row r="37" spans="1:46" ht="15" customHeight="1">
      <c r="A37" s="73"/>
      <c r="B37" s="612" t="s">
        <v>751</v>
      </c>
      <c r="C37" s="613"/>
      <c r="D37" s="613"/>
      <c r="E37" s="613"/>
      <c r="F37" s="613"/>
      <c r="G37" s="613"/>
      <c r="H37" s="613"/>
      <c r="I37" s="613"/>
      <c r="J37" s="613"/>
      <c r="K37" s="613"/>
      <c r="L37" s="613"/>
      <c r="M37" s="613"/>
      <c r="N37" s="613"/>
      <c r="O37" s="613"/>
      <c r="P37" s="613"/>
      <c r="Q37" s="613"/>
      <c r="R37" s="613"/>
      <c r="S37" s="613"/>
      <c r="T37" s="613"/>
      <c r="U37" s="613"/>
      <c r="V37" s="613"/>
      <c r="W37" s="613"/>
      <c r="X37" s="613"/>
      <c r="Y37" s="613"/>
      <c r="Z37" s="613"/>
      <c r="AA37" s="613"/>
      <c r="AB37" s="613"/>
      <c r="AC37" s="613"/>
      <c r="AD37" s="613"/>
      <c r="AE37" s="613"/>
      <c r="AF37" s="613"/>
      <c r="AG37" s="613"/>
      <c r="AH37" s="613"/>
      <c r="AI37" s="613"/>
      <c r="AJ37" s="613"/>
      <c r="AK37" s="613"/>
      <c r="AL37" s="613"/>
      <c r="AM37" s="613"/>
      <c r="AN37" s="613"/>
      <c r="AO37" s="613"/>
      <c r="AP37" s="613"/>
      <c r="AQ37" s="613"/>
      <c r="AR37" s="614"/>
      <c r="AT37" s="21"/>
    </row>
    <row r="38" spans="1:46" ht="15" customHeight="1">
      <c r="A38" s="73"/>
      <c r="B38" s="615"/>
      <c r="C38" s="616"/>
      <c r="D38" s="616"/>
      <c r="E38" s="616"/>
      <c r="F38" s="616"/>
      <c r="G38" s="616"/>
      <c r="H38" s="616"/>
      <c r="I38" s="616"/>
      <c r="J38" s="616"/>
      <c r="K38" s="616"/>
      <c r="L38" s="616"/>
      <c r="M38" s="616"/>
      <c r="N38" s="616"/>
      <c r="O38" s="616"/>
      <c r="P38" s="616"/>
      <c r="Q38" s="616"/>
      <c r="R38" s="616"/>
      <c r="S38" s="616"/>
      <c r="T38" s="616"/>
      <c r="U38" s="616"/>
      <c r="V38" s="616"/>
      <c r="W38" s="616"/>
      <c r="X38" s="616"/>
      <c r="Y38" s="616"/>
      <c r="Z38" s="616"/>
      <c r="AA38" s="616"/>
      <c r="AB38" s="616"/>
      <c r="AC38" s="616"/>
      <c r="AD38" s="616"/>
      <c r="AE38" s="616"/>
      <c r="AF38" s="616"/>
      <c r="AG38" s="616"/>
      <c r="AH38" s="616"/>
      <c r="AI38" s="616"/>
      <c r="AJ38" s="616"/>
      <c r="AK38" s="616"/>
      <c r="AL38" s="616"/>
      <c r="AM38" s="616"/>
      <c r="AN38" s="616"/>
      <c r="AO38" s="616"/>
      <c r="AP38" s="616"/>
      <c r="AQ38" s="616"/>
      <c r="AR38" s="617"/>
      <c r="AT38" s="21"/>
    </row>
    <row r="39" spans="1:46" ht="15" customHeight="1">
      <c r="A39" s="73"/>
      <c r="B39" s="615"/>
      <c r="C39" s="616"/>
      <c r="D39" s="616"/>
      <c r="E39" s="616"/>
      <c r="F39" s="616"/>
      <c r="G39" s="616"/>
      <c r="H39" s="616"/>
      <c r="I39" s="616"/>
      <c r="J39" s="616"/>
      <c r="K39" s="616"/>
      <c r="L39" s="616"/>
      <c r="M39" s="616"/>
      <c r="N39" s="616"/>
      <c r="O39" s="616"/>
      <c r="P39" s="616"/>
      <c r="Q39" s="616"/>
      <c r="R39" s="616"/>
      <c r="S39" s="616"/>
      <c r="T39" s="616"/>
      <c r="U39" s="616"/>
      <c r="V39" s="616"/>
      <c r="W39" s="616"/>
      <c r="X39" s="616"/>
      <c r="Y39" s="616"/>
      <c r="Z39" s="616"/>
      <c r="AA39" s="616"/>
      <c r="AB39" s="616"/>
      <c r="AC39" s="616"/>
      <c r="AD39" s="616"/>
      <c r="AE39" s="616"/>
      <c r="AF39" s="616"/>
      <c r="AG39" s="616"/>
      <c r="AH39" s="616"/>
      <c r="AI39" s="616"/>
      <c r="AJ39" s="616"/>
      <c r="AK39" s="616"/>
      <c r="AL39" s="616"/>
      <c r="AM39" s="616"/>
      <c r="AN39" s="616"/>
      <c r="AO39" s="616"/>
      <c r="AP39" s="616"/>
      <c r="AQ39" s="616"/>
      <c r="AR39" s="617"/>
      <c r="AS39" s="18"/>
      <c r="AT39" s="72"/>
    </row>
    <row r="40" spans="1:46" ht="15" customHeight="1">
      <c r="A40" s="73"/>
      <c r="B40" s="615"/>
      <c r="C40" s="616"/>
      <c r="D40" s="616"/>
      <c r="E40" s="616"/>
      <c r="F40" s="616"/>
      <c r="G40" s="616"/>
      <c r="H40" s="616"/>
      <c r="I40" s="616"/>
      <c r="J40" s="616"/>
      <c r="K40" s="616"/>
      <c r="L40" s="616"/>
      <c r="M40" s="616"/>
      <c r="N40" s="616"/>
      <c r="O40" s="616"/>
      <c r="P40" s="616"/>
      <c r="Q40" s="616"/>
      <c r="R40" s="616"/>
      <c r="S40" s="616"/>
      <c r="T40" s="616"/>
      <c r="U40" s="616"/>
      <c r="V40" s="616"/>
      <c r="W40" s="616"/>
      <c r="X40" s="616"/>
      <c r="Y40" s="616"/>
      <c r="Z40" s="616"/>
      <c r="AA40" s="616"/>
      <c r="AB40" s="616"/>
      <c r="AC40" s="616"/>
      <c r="AD40" s="616"/>
      <c r="AE40" s="616"/>
      <c r="AF40" s="616"/>
      <c r="AG40" s="616"/>
      <c r="AH40" s="616"/>
      <c r="AI40" s="616"/>
      <c r="AJ40" s="616"/>
      <c r="AK40" s="616"/>
      <c r="AL40" s="616"/>
      <c r="AM40" s="616"/>
      <c r="AN40" s="616"/>
      <c r="AO40" s="616"/>
      <c r="AP40" s="616"/>
      <c r="AQ40" s="616"/>
      <c r="AR40" s="617"/>
      <c r="AT40" s="21"/>
    </row>
    <row r="41" spans="1:46" ht="15" customHeight="1">
      <c r="A41" s="73"/>
      <c r="B41" s="615"/>
      <c r="C41" s="616"/>
      <c r="D41" s="616"/>
      <c r="E41" s="616"/>
      <c r="F41" s="616"/>
      <c r="G41" s="616"/>
      <c r="H41" s="616"/>
      <c r="I41" s="616"/>
      <c r="J41" s="616"/>
      <c r="K41" s="616"/>
      <c r="L41" s="616"/>
      <c r="M41" s="616"/>
      <c r="N41" s="616"/>
      <c r="O41" s="616"/>
      <c r="P41" s="616"/>
      <c r="Q41" s="616"/>
      <c r="R41" s="616"/>
      <c r="S41" s="616"/>
      <c r="T41" s="616"/>
      <c r="U41" s="616"/>
      <c r="V41" s="616"/>
      <c r="W41" s="616"/>
      <c r="X41" s="616"/>
      <c r="Y41" s="616"/>
      <c r="Z41" s="616"/>
      <c r="AA41" s="616"/>
      <c r="AB41" s="616"/>
      <c r="AC41" s="616"/>
      <c r="AD41" s="616"/>
      <c r="AE41" s="616"/>
      <c r="AF41" s="616"/>
      <c r="AG41" s="616"/>
      <c r="AH41" s="616"/>
      <c r="AI41" s="616"/>
      <c r="AJ41" s="616"/>
      <c r="AK41" s="616"/>
      <c r="AL41" s="616"/>
      <c r="AM41" s="616"/>
      <c r="AN41" s="616"/>
      <c r="AO41" s="616"/>
      <c r="AP41" s="616"/>
      <c r="AQ41" s="616"/>
      <c r="AR41" s="617"/>
      <c r="AT41" s="21"/>
    </row>
    <row r="42" spans="1:46" ht="15" customHeight="1">
      <c r="A42" s="73"/>
      <c r="B42" s="615"/>
      <c r="C42" s="616"/>
      <c r="D42" s="616"/>
      <c r="E42" s="616"/>
      <c r="F42" s="616"/>
      <c r="G42" s="616"/>
      <c r="H42" s="616"/>
      <c r="I42" s="616"/>
      <c r="J42" s="616"/>
      <c r="K42" s="616"/>
      <c r="L42" s="616"/>
      <c r="M42" s="616"/>
      <c r="N42" s="616"/>
      <c r="O42" s="616"/>
      <c r="P42" s="616"/>
      <c r="Q42" s="616"/>
      <c r="R42" s="616"/>
      <c r="S42" s="616"/>
      <c r="T42" s="616"/>
      <c r="U42" s="616"/>
      <c r="V42" s="616"/>
      <c r="W42" s="616"/>
      <c r="X42" s="616"/>
      <c r="Y42" s="616"/>
      <c r="Z42" s="616"/>
      <c r="AA42" s="616"/>
      <c r="AB42" s="616"/>
      <c r="AC42" s="616"/>
      <c r="AD42" s="616"/>
      <c r="AE42" s="616"/>
      <c r="AF42" s="616"/>
      <c r="AG42" s="616"/>
      <c r="AH42" s="616"/>
      <c r="AI42" s="616"/>
      <c r="AJ42" s="616"/>
      <c r="AK42" s="616"/>
      <c r="AL42" s="616"/>
      <c r="AM42" s="616"/>
      <c r="AN42" s="616"/>
      <c r="AO42" s="616"/>
      <c r="AP42" s="616"/>
      <c r="AQ42" s="616"/>
      <c r="AR42" s="617"/>
      <c r="AT42" s="21"/>
    </row>
    <row r="43" spans="1:46" ht="15" customHeight="1">
      <c r="A43" s="73"/>
      <c r="B43" s="615"/>
      <c r="C43" s="616"/>
      <c r="D43" s="616"/>
      <c r="E43" s="616"/>
      <c r="F43" s="616"/>
      <c r="G43" s="616"/>
      <c r="H43" s="616"/>
      <c r="I43" s="616"/>
      <c r="J43" s="616"/>
      <c r="K43" s="616"/>
      <c r="L43" s="616"/>
      <c r="M43" s="616"/>
      <c r="N43" s="616"/>
      <c r="O43" s="616"/>
      <c r="P43" s="616"/>
      <c r="Q43" s="616"/>
      <c r="R43" s="616"/>
      <c r="S43" s="616"/>
      <c r="T43" s="616"/>
      <c r="U43" s="616"/>
      <c r="V43" s="616"/>
      <c r="W43" s="616"/>
      <c r="X43" s="616"/>
      <c r="Y43" s="616"/>
      <c r="Z43" s="616"/>
      <c r="AA43" s="616"/>
      <c r="AB43" s="616"/>
      <c r="AC43" s="616"/>
      <c r="AD43" s="616"/>
      <c r="AE43" s="616"/>
      <c r="AF43" s="616"/>
      <c r="AG43" s="616"/>
      <c r="AH43" s="616"/>
      <c r="AI43" s="616"/>
      <c r="AJ43" s="616"/>
      <c r="AK43" s="616"/>
      <c r="AL43" s="616"/>
      <c r="AM43" s="616"/>
      <c r="AN43" s="616"/>
      <c r="AO43" s="616"/>
      <c r="AP43" s="616"/>
      <c r="AQ43" s="616"/>
      <c r="AR43" s="617"/>
      <c r="AT43" s="21"/>
    </row>
    <row r="44" spans="1:46" ht="15" customHeight="1">
      <c r="A44" s="73"/>
      <c r="B44" s="615"/>
      <c r="C44" s="616"/>
      <c r="D44" s="616"/>
      <c r="E44" s="616"/>
      <c r="F44" s="616"/>
      <c r="G44" s="616"/>
      <c r="H44" s="616"/>
      <c r="I44" s="616"/>
      <c r="J44" s="616"/>
      <c r="K44" s="616"/>
      <c r="L44" s="616"/>
      <c r="M44" s="616"/>
      <c r="N44" s="616"/>
      <c r="O44" s="616"/>
      <c r="P44" s="616"/>
      <c r="Q44" s="616"/>
      <c r="R44" s="616"/>
      <c r="S44" s="616"/>
      <c r="T44" s="616"/>
      <c r="U44" s="616"/>
      <c r="V44" s="616"/>
      <c r="W44" s="616"/>
      <c r="X44" s="616"/>
      <c r="Y44" s="616"/>
      <c r="Z44" s="616"/>
      <c r="AA44" s="616"/>
      <c r="AB44" s="616"/>
      <c r="AC44" s="616"/>
      <c r="AD44" s="616"/>
      <c r="AE44" s="616"/>
      <c r="AF44" s="616"/>
      <c r="AG44" s="616"/>
      <c r="AH44" s="616"/>
      <c r="AI44" s="616"/>
      <c r="AJ44" s="616"/>
      <c r="AK44" s="616"/>
      <c r="AL44" s="616"/>
      <c r="AM44" s="616"/>
      <c r="AN44" s="616"/>
      <c r="AO44" s="616"/>
      <c r="AP44" s="616"/>
      <c r="AQ44" s="616"/>
      <c r="AR44" s="617"/>
      <c r="AT44" s="21"/>
    </row>
    <row r="45" spans="1:46" ht="15" customHeight="1">
      <c r="A45" s="73"/>
      <c r="B45" s="615"/>
      <c r="C45" s="616"/>
      <c r="D45" s="616"/>
      <c r="E45" s="616"/>
      <c r="F45" s="616"/>
      <c r="G45" s="616"/>
      <c r="H45" s="616"/>
      <c r="I45" s="616"/>
      <c r="J45" s="616"/>
      <c r="K45" s="616"/>
      <c r="L45" s="616"/>
      <c r="M45" s="616"/>
      <c r="N45" s="616"/>
      <c r="O45" s="616"/>
      <c r="P45" s="616"/>
      <c r="Q45" s="616"/>
      <c r="R45" s="616"/>
      <c r="S45" s="616"/>
      <c r="T45" s="616"/>
      <c r="U45" s="616"/>
      <c r="V45" s="616"/>
      <c r="W45" s="616"/>
      <c r="X45" s="616"/>
      <c r="Y45" s="616"/>
      <c r="Z45" s="616"/>
      <c r="AA45" s="616"/>
      <c r="AB45" s="616"/>
      <c r="AC45" s="616"/>
      <c r="AD45" s="616"/>
      <c r="AE45" s="616"/>
      <c r="AF45" s="616"/>
      <c r="AG45" s="616"/>
      <c r="AH45" s="616"/>
      <c r="AI45" s="616"/>
      <c r="AJ45" s="616"/>
      <c r="AK45" s="616"/>
      <c r="AL45" s="616"/>
      <c r="AM45" s="616"/>
      <c r="AN45" s="616"/>
      <c r="AO45" s="616"/>
      <c r="AP45" s="616"/>
      <c r="AQ45" s="616"/>
      <c r="AR45" s="617"/>
      <c r="AT45" s="21"/>
    </row>
    <row r="46" spans="1:46" ht="15" customHeight="1">
      <c r="A46" s="73"/>
      <c r="B46" s="615"/>
      <c r="C46" s="616"/>
      <c r="D46" s="616"/>
      <c r="E46" s="616"/>
      <c r="F46" s="616"/>
      <c r="G46" s="616"/>
      <c r="H46" s="616"/>
      <c r="I46" s="616"/>
      <c r="J46" s="616"/>
      <c r="K46" s="616"/>
      <c r="L46" s="616"/>
      <c r="M46" s="616"/>
      <c r="N46" s="616"/>
      <c r="O46" s="616"/>
      <c r="P46" s="616"/>
      <c r="Q46" s="616"/>
      <c r="R46" s="616"/>
      <c r="S46" s="616"/>
      <c r="T46" s="616"/>
      <c r="U46" s="616"/>
      <c r="V46" s="616"/>
      <c r="W46" s="616"/>
      <c r="X46" s="616"/>
      <c r="Y46" s="616"/>
      <c r="Z46" s="616"/>
      <c r="AA46" s="616"/>
      <c r="AB46" s="616"/>
      <c r="AC46" s="616"/>
      <c r="AD46" s="616"/>
      <c r="AE46" s="616"/>
      <c r="AF46" s="616"/>
      <c r="AG46" s="616"/>
      <c r="AH46" s="616"/>
      <c r="AI46" s="616"/>
      <c r="AJ46" s="616"/>
      <c r="AK46" s="616"/>
      <c r="AL46" s="616"/>
      <c r="AM46" s="616"/>
      <c r="AN46" s="616"/>
      <c r="AO46" s="616"/>
      <c r="AP46" s="616"/>
      <c r="AQ46" s="616"/>
      <c r="AR46" s="617"/>
      <c r="AT46" s="21"/>
    </row>
    <row r="47" spans="1:46" ht="15" customHeight="1">
      <c r="A47" s="73"/>
      <c r="B47" s="615"/>
      <c r="C47" s="616"/>
      <c r="D47" s="616"/>
      <c r="E47" s="616"/>
      <c r="F47" s="616"/>
      <c r="G47" s="616"/>
      <c r="H47" s="616"/>
      <c r="I47" s="616"/>
      <c r="J47" s="616"/>
      <c r="K47" s="616"/>
      <c r="L47" s="616"/>
      <c r="M47" s="616"/>
      <c r="N47" s="616"/>
      <c r="O47" s="616"/>
      <c r="P47" s="616"/>
      <c r="Q47" s="616"/>
      <c r="R47" s="616"/>
      <c r="S47" s="616"/>
      <c r="T47" s="616"/>
      <c r="U47" s="616"/>
      <c r="V47" s="616"/>
      <c r="W47" s="616"/>
      <c r="X47" s="616"/>
      <c r="Y47" s="616"/>
      <c r="Z47" s="616"/>
      <c r="AA47" s="616"/>
      <c r="AB47" s="616"/>
      <c r="AC47" s="616"/>
      <c r="AD47" s="616"/>
      <c r="AE47" s="616"/>
      <c r="AF47" s="616"/>
      <c r="AG47" s="616"/>
      <c r="AH47" s="616"/>
      <c r="AI47" s="616"/>
      <c r="AJ47" s="616"/>
      <c r="AK47" s="616"/>
      <c r="AL47" s="616"/>
      <c r="AM47" s="616"/>
      <c r="AN47" s="616"/>
      <c r="AO47" s="616"/>
      <c r="AP47" s="616"/>
      <c r="AQ47" s="616"/>
      <c r="AR47" s="617"/>
      <c r="AT47" s="21"/>
    </row>
    <row r="48" spans="1:46" ht="15" customHeight="1">
      <c r="A48" s="73"/>
      <c r="B48" s="615"/>
      <c r="C48" s="616"/>
      <c r="D48" s="616"/>
      <c r="E48" s="616"/>
      <c r="F48" s="616"/>
      <c r="G48" s="616"/>
      <c r="H48" s="616"/>
      <c r="I48" s="616"/>
      <c r="J48" s="616"/>
      <c r="K48" s="616"/>
      <c r="L48" s="616"/>
      <c r="M48" s="616"/>
      <c r="N48" s="616"/>
      <c r="O48" s="616"/>
      <c r="P48" s="616"/>
      <c r="Q48" s="616"/>
      <c r="R48" s="616"/>
      <c r="S48" s="616"/>
      <c r="T48" s="616"/>
      <c r="U48" s="616"/>
      <c r="V48" s="616"/>
      <c r="W48" s="616"/>
      <c r="X48" s="616"/>
      <c r="Y48" s="616"/>
      <c r="Z48" s="616"/>
      <c r="AA48" s="616"/>
      <c r="AB48" s="616"/>
      <c r="AC48" s="616"/>
      <c r="AD48" s="616"/>
      <c r="AE48" s="616"/>
      <c r="AF48" s="616"/>
      <c r="AG48" s="616"/>
      <c r="AH48" s="616"/>
      <c r="AI48" s="616"/>
      <c r="AJ48" s="616"/>
      <c r="AK48" s="616"/>
      <c r="AL48" s="616"/>
      <c r="AM48" s="616"/>
      <c r="AN48" s="616"/>
      <c r="AO48" s="616"/>
      <c r="AP48" s="616"/>
      <c r="AQ48" s="616"/>
      <c r="AR48" s="617"/>
      <c r="AT48" s="21"/>
    </row>
    <row r="49" spans="1:46" ht="15" customHeight="1">
      <c r="A49" s="73"/>
      <c r="B49" s="615"/>
      <c r="C49" s="616"/>
      <c r="D49" s="616"/>
      <c r="E49" s="616"/>
      <c r="F49" s="616"/>
      <c r="G49" s="616"/>
      <c r="H49" s="616"/>
      <c r="I49" s="616"/>
      <c r="J49" s="616"/>
      <c r="K49" s="616"/>
      <c r="L49" s="616"/>
      <c r="M49" s="616"/>
      <c r="N49" s="616"/>
      <c r="O49" s="616"/>
      <c r="P49" s="616"/>
      <c r="Q49" s="616"/>
      <c r="R49" s="616"/>
      <c r="S49" s="616"/>
      <c r="T49" s="616"/>
      <c r="U49" s="616"/>
      <c r="V49" s="616"/>
      <c r="W49" s="616"/>
      <c r="X49" s="616"/>
      <c r="Y49" s="616"/>
      <c r="Z49" s="616"/>
      <c r="AA49" s="616"/>
      <c r="AB49" s="616"/>
      <c r="AC49" s="616"/>
      <c r="AD49" s="616"/>
      <c r="AE49" s="616"/>
      <c r="AF49" s="616"/>
      <c r="AG49" s="616"/>
      <c r="AH49" s="616"/>
      <c r="AI49" s="616"/>
      <c r="AJ49" s="616"/>
      <c r="AK49" s="616"/>
      <c r="AL49" s="616"/>
      <c r="AM49" s="616"/>
      <c r="AN49" s="616"/>
      <c r="AO49" s="616"/>
      <c r="AP49" s="616"/>
      <c r="AQ49" s="616"/>
      <c r="AR49" s="617"/>
      <c r="AT49" s="21"/>
    </row>
    <row r="50" spans="1:46" ht="15" customHeight="1">
      <c r="A50" s="73"/>
      <c r="B50" s="615"/>
      <c r="C50" s="616"/>
      <c r="D50" s="616"/>
      <c r="E50" s="616"/>
      <c r="F50" s="616"/>
      <c r="G50" s="616"/>
      <c r="H50" s="616"/>
      <c r="I50" s="616"/>
      <c r="J50" s="616"/>
      <c r="K50" s="616"/>
      <c r="L50" s="616"/>
      <c r="M50" s="616"/>
      <c r="N50" s="616"/>
      <c r="O50" s="616"/>
      <c r="P50" s="616"/>
      <c r="Q50" s="616"/>
      <c r="R50" s="616"/>
      <c r="S50" s="616"/>
      <c r="T50" s="616"/>
      <c r="U50" s="616"/>
      <c r="V50" s="616"/>
      <c r="W50" s="616"/>
      <c r="X50" s="616"/>
      <c r="Y50" s="616"/>
      <c r="Z50" s="616"/>
      <c r="AA50" s="616"/>
      <c r="AB50" s="616"/>
      <c r="AC50" s="616"/>
      <c r="AD50" s="616"/>
      <c r="AE50" s="616"/>
      <c r="AF50" s="616"/>
      <c r="AG50" s="616"/>
      <c r="AH50" s="616"/>
      <c r="AI50" s="616"/>
      <c r="AJ50" s="616"/>
      <c r="AK50" s="616"/>
      <c r="AL50" s="616"/>
      <c r="AM50" s="616"/>
      <c r="AN50" s="616"/>
      <c r="AO50" s="616"/>
      <c r="AP50" s="616"/>
      <c r="AQ50" s="616"/>
      <c r="AR50" s="617"/>
      <c r="AS50" s="18"/>
      <c r="AT50" s="72"/>
    </row>
    <row r="51" spans="1:46" ht="15" customHeight="1">
      <c r="A51" s="73"/>
      <c r="B51" s="615"/>
      <c r="C51" s="616"/>
      <c r="D51" s="616"/>
      <c r="E51" s="616"/>
      <c r="F51" s="616"/>
      <c r="G51" s="616"/>
      <c r="H51" s="616"/>
      <c r="I51" s="616"/>
      <c r="J51" s="616"/>
      <c r="K51" s="616"/>
      <c r="L51" s="616"/>
      <c r="M51" s="616"/>
      <c r="N51" s="616"/>
      <c r="O51" s="616"/>
      <c r="P51" s="616"/>
      <c r="Q51" s="616"/>
      <c r="R51" s="616"/>
      <c r="S51" s="616"/>
      <c r="T51" s="616"/>
      <c r="U51" s="616"/>
      <c r="V51" s="616"/>
      <c r="W51" s="616"/>
      <c r="X51" s="616"/>
      <c r="Y51" s="616"/>
      <c r="Z51" s="616"/>
      <c r="AA51" s="616"/>
      <c r="AB51" s="616"/>
      <c r="AC51" s="616"/>
      <c r="AD51" s="616"/>
      <c r="AE51" s="616"/>
      <c r="AF51" s="616"/>
      <c r="AG51" s="616"/>
      <c r="AH51" s="616"/>
      <c r="AI51" s="616"/>
      <c r="AJ51" s="616"/>
      <c r="AK51" s="616"/>
      <c r="AL51" s="616"/>
      <c r="AM51" s="616"/>
      <c r="AN51" s="616"/>
      <c r="AO51" s="616"/>
      <c r="AP51" s="616"/>
      <c r="AQ51" s="616"/>
      <c r="AR51" s="617"/>
      <c r="AS51" s="18"/>
      <c r="AT51" s="72"/>
    </row>
    <row r="52" spans="1:46" ht="15" customHeight="1">
      <c r="A52" s="73"/>
      <c r="B52" s="615"/>
      <c r="C52" s="616"/>
      <c r="D52" s="616"/>
      <c r="E52" s="616"/>
      <c r="F52" s="616"/>
      <c r="G52" s="616"/>
      <c r="H52" s="616"/>
      <c r="I52" s="616"/>
      <c r="J52" s="616"/>
      <c r="K52" s="616"/>
      <c r="L52" s="616"/>
      <c r="M52" s="616"/>
      <c r="N52" s="616"/>
      <c r="O52" s="616"/>
      <c r="P52" s="616"/>
      <c r="Q52" s="616"/>
      <c r="R52" s="616"/>
      <c r="S52" s="616"/>
      <c r="T52" s="616"/>
      <c r="U52" s="616"/>
      <c r="V52" s="616"/>
      <c r="W52" s="616"/>
      <c r="X52" s="616"/>
      <c r="Y52" s="616"/>
      <c r="Z52" s="616"/>
      <c r="AA52" s="616"/>
      <c r="AB52" s="616"/>
      <c r="AC52" s="616"/>
      <c r="AD52" s="616"/>
      <c r="AE52" s="616"/>
      <c r="AF52" s="616"/>
      <c r="AG52" s="616"/>
      <c r="AH52" s="616"/>
      <c r="AI52" s="616"/>
      <c r="AJ52" s="616"/>
      <c r="AK52" s="616"/>
      <c r="AL52" s="616"/>
      <c r="AM52" s="616"/>
      <c r="AN52" s="616"/>
      <c r="AO52" s="616"/>
      <c r="AP52" s="616"/>
      <c r="AQ52" s="616"/>
      <c r="AR52" s="617"/>
      <c r="AS52" s="18"/>
      <c r="AT52" s="72"/>
    </row>
    <row r="53" spans="1:46" ht="15" customHeight="1">
      <c r="A53" s="73"/>
      <c r="B53" s="615"/>
      <c r="C53" s="616"/>
      <c r="D53" s="616"/>
      <c r="E53" s="616"/>
      <c r="F53" s="616"/>
      <c r="G53" s="616"/>
      <c r="H53" s="616"/>
      <c r="I53" s="616"/>
      <c r="J53" s="616"/>
      <c r="K53" s="616"/>
      <c r="L53" s="616"/>
      <c r="M53" s="616"/>
      <c r="N53" s="616"/>
      <c r="O53" s="616"/>
      <c r="P53" s="616"/>
      <c r="Q53" s="616"/>
      <c r="R53" s="616"/>
      <c r="S53" s="616"/>
      <c r="T53" s="616"/>
      <c r="U53" s="616"/>
      <c r="V53" s="616"/>
      <c r="W53" s="616"/>
      <c r="X53" s="616"/>
      <c r="Y53" s="616"/>
      <c r="Z53" s="616"/>
      <c r="AA53" s="616"/>
      <c r="AB53" s="616"/>
      <c r="AC53" s="616"/>
      <c r="AD53" s="616"/>
      <c r="AE53" s="616"/>
      <c r="AF53" s="616"/>
      <c r="AG53" s="616"/>
      <c r="AH53" s="616"/>
      <c r="AI53" s="616"/>
      <c r="AJ53" s="616"/>
      <c r="AK53" s="616"/>
      <c r="AL53" s="616"/>
      <c r="AM53" s="616"/>
      <c r="AN53" s="616"/>
      <c r="AO53" s="616"/>
      <c r="AP53" s="616"/>
      <c r="AQ53" s="616"/>
      <c r="AR53" s="617"/>
      <c r="AS53" s="18"/>
      <c r="AT53" s="72"/>
    </row>
    <row r="54" spans="1:46" ht="15" customHeight="1">
      <c r="A54" s="73"/>
      <c r="B54" s="615"/>
      <c r="C54" s="616"/>
      <c r="D54" s="616"/>
      <c r="E54" s="616"/>
      <c r="F54" s="616"/>
      <c r="G54" s="616"/>
      <c r="H54" s="616"/>
      <c r="I54" s="616"/>
      <c r="J54" s="616"/>
      <c r="K54" s="616"/>
      <c r="L54" s="616"/>
      <c r="M54" s="616"/>
      <c r="N54" s="616"/>
      <c r="O54" s="616"/>
      <c r="P54" s="616"/>
      <c r="Q54" s="616"/>
      <c r="R54" s="616"/>
      <c r="S54" s="616"/>
      <c r="T54" s="616"/>
      <c r="U54" s="616"/>
      <c r="V54" s="616"/>
      <c r="W54" s="616"/>
      <c r="X54" s="616"/>
      <c r="Y54" s="616"/>
      <c r="Z54" s="616"/>
      <c r="AA54" s="616"/>
      <c r="AB54" s="616"/>
      <c r="AC54" s="616"/>
      <c r="AD54" s="616"/>
      <c r="AE54" s="616"/>
      <c r="AF54" s="616"/>
      <c r="AG54" s="616"/>
      <c r="AH54" s="616"/>
      <c r="AI54" s="616"/>
      <c r="AJ54" s="616"/>
      <c r="AK54" s="616"/>
      <c r="AL54" s="616"/>
      <c r="AM54" s="616"/>
      <c r="AN54" s="616"/>
      <c r="AO54" s="616"/>
      <c r="AP54" s="616"/>
      <c r="AQ54" s="616"/>
      <c r="AR54" s="617"/>
      <c r="AT54" s="72"/>
    </row>
    <row r="55" spans="1:46" ht="15" customHeight="1">
      <c r="A55" s="73"/>
      <c r="B55" s="615"/>
      <c r="C55" s="616"/>
      <c r="D55" s="616"/>
      <c r="E55" s="616"/>
      <c r="F55" s="616"/>
      <c r="G55" s="616"/>
      <c r="H55" s="616"/>
      <c r="I55" s="616"/>
      <c r="J55" s="616"/>
      <c r="K55" s="616"/>
      <c r="L55" s="616"/>
      <c r="M55" s="616"/>
      <c r="N55" s="616"/>
      <c r="O55" s="616"/>
      <c r="P55" s="616"/>
      <c r="Q55" s="616"/>
      <c r="R55" s="616"/>
      <c r="S55" s="616"/>
      <c r="T55" s="616"/>
      <c r="U55" s="616"/>
      <c r="V55" s="616"/>
      <c r="W55" s="616"/>
      <c r="X55" s="616"/>
      <c r="Y55" s="616"/>
      <c r="Z55" s="616"/>
      <c r="AA55" s="616"/>
      <c r="AB55" s="616"/>
      <c r="AC55" s="616"/>
      <c r="AD55" s="616"/>
      <c r="AE55" s="616"/>
      <c r="AF55" s="616"/>
      <c r="AG55" s="616"/>
      <c r="AH55" s="616"/>
      <c r="AI55" s="616"/>
      <c r="AJ55" s="616"/>
      <c r="AK55" s="616"/>
      <c r="AL55" s="616"/>
      <c r="AM55" s="616"/>
      <c r="AN55" s="616"/>
      <c r="AO55" s="616"/>
      <c r="AP55" s="616"/>
      <c r="AQ55" s="616"/>
      <c r="AR55" s="617"/>
      <c r="AS55" s="456"/>
      <c r="AT55" s="21"/>
    </row>
    <row r="56" spans="1:46" ht="15" customHeight="1">
      <c r="A56" s="73"/>
      <c r="B56" s="615"/>
      <c r="C56" s="616"/>
      <c r="D56" s="616"/>
      <c r="E56" s="616"/>
      <c r="F56" s="616"/>
      <c r="G56" s="616"/>
      <c r="H56" s="616"/>
      <c r="I56" s="616"/>
      <c r="J56" s="616"/>
      <c r="K56" s="616"/>
      <c r="L56" s="616"/>
      <c r="M56" s="616"/>
      <c r="N56" s="616"/>
      <c r="O56" s="616"/>
      <c r="P56" s="616"/>
      <c r="Q56" s="616"/>
      <c r="R56" s="616"/>
      <c r="S56" s="616"/>
      <c r="T56" s="616"/>
      <c r="U56" s="616"/>
      <c r="V56" s="616"/>
      <c r="W56" s="616"/>
      <c r="X56" s="616"/>
      <c r="Y56" s="616"/>
      <c r="Z56" s="616"/>
      <c r="AA56" s="616"/>
      <c r="AB56" s="616"/>
      <c r="AC56" s="616"/>
      <c r="AD56" s="616"/>
      <c r="AE56" s="616"/>
      <c r="AF56" s="616"/>
      <c r="AG56" s="616"/>
      <c r="AH56" s="616"/>
      <c r="AI56" s="616"/>
      <c r="AJ56" s="616"/>
      <c r="AK56" s="616"/>
      <c r="AL56" s="616"/>
      <c r="AM56" s="616"/>
      <c r="AN56" s="616"/>
      <c r="AO56" s="616"/>
      <c r="AP56" s="616"/>
      <c r="AQ56" s="616"/>
      <c r="AR56" s="617"/>
      <c r="AS56" s="456"/>
      <c r="AT56" s="21"/>
    </row>
    <row r="57" spans="1:46" ht="15" customHeight="1">
      <c r="A57" s="73"/>
      <c r="B57" s="615"/>
      <c r="C57" s="616"/>
      <c r="D57" s="616"/>
      <c r="E57" s="616"/>
      <c r="F57" s="616"/>
      <c r="G57" s="616"/>
      <c r="H57" s="616"/>
      <c r="I57" s="616"/>
      <c r="J57" s="616"/>
      <c r="K57" s="616"/>
      <c r="L57" s="616"/>
      <c r="M57" s="616"/>
      <c r="N57" s="616"/>
      <c r="O57" s="616"/>
      <c r="P57" s="616"/>
      <c r="Q57" s="616"/>
      <c r="R57" s="616"/>
      <c r="S57" s="616"/>
      <c r="T57" s="616"/>
      <c r="U57" s="616"/>
      <c r="V57" s="616"/>
      <c r="W57" s="616"/>
      <c r="X57" s="616"/>
      <c r="Y57" s="616"/>
      <c r="Z57" s="616"/>
      <c r="AA57" s="616"/>
      <c r="AB57" s="616"/>
      <c r="AC57" s="616"/>
      <c r="AD57" s="616"/>
      <c r="AE57" s="616"/>
      <c r="AF57" s="616"/>
      <c r="AG57" s="616"/>
      <c r="AH57" s="616"/>
      <c r="AI57" s="616"/>
      <c r="AJ57" s="616"/>
      <c r="AK57" s="616"/>
      <c r="AL57" s="616"/>
      <c r="AM57" s="616"/>
      <c r="AN57" s="616"/>
      <c r="AO57" s="616"/>
      <c r="AP57" s="616"/>
      <c r="AQ57" s="616"/>
      <c r="AR57" s="617"/>
      <c r="AS57" s="456"/>
      <c r="AT57" s="21"/>
    </row>
    <row r="58" spans="1:46" ht="15" customHeight="1">
      <c r="A58" s="73"/>
      <c r="B58" s="615"/>
      <c r="C58" s="616"/>
      <c r="D58" s="616"/>
      <c r="E58" s="616"/>
      <c r="F58" s="616"/>
      <c r="G58" s="616"/>
      <c r="H58" s="616"/>
      <c r="I58" s="616"/>
      <c r="J58" s="616"/>
      <c r="K58" s="616"/>
      <c r="L58" s="616"/>
      <c r="M58" s="616"/>
      <c r="N58" s="616"/>
      <c r="O58" s="616"/>
      <c r="P58" s="616"/>
      <c r="Q58" s="616"/>
      <c r="R58" s="616"/>
      <c r="S58" s="616"/>
      <c r="T58" s="616"/>
      <c r="U58" s="616"/>
      <c r="V58" s="616"/>
      <c r="W58" s="616"/>
      <c r="X58" s="616"/>
      <c r="Y58" s="616"/>
      <c r="Z58" s="616"/>
      <c r="AA58" s="616"/>
      <c r="AB58" s="616"/>
      <c r="AC58" s="616"/>
      <c r="AD58" s="616"/>
      <c r="AE58" s="616"/>
      <c r="AF58" s="616"/>
      <c r="AG58" s="616"/>
      <c r="AH58" s="616"/>
      <c r="AI58" s="616"/>
      <c r="AJ58" s="616"/>
      <c r="AK58" s="616"/>
      <c r="AL58" s="616"/>
      <c r="AM58" s="616"/>
      <c r="AN58" s="616"/>
      <c r="AO58" s="616"/>
      <c r="AP58" s="616"/>
      <c r="AQ58" s="616"/>
      <c r="AR58" s="617"/>
      <c r="AS58" s="456"/>
      <c r="AT58" s="21"/>
    </row>
    <row r="59" spans="1:46" ht="15" customHeight="1">
      <c r="A59" s="73"/>
      <c r="B59" s="615"/>
      <c r="C59" s="616"/>
      <c r="D59" s="616"/>
      <c r="E59" s="616"/>
      <c r="F59" s="616"/>
      <c r="G59" s="616"/>
      <c r="H59" s="616"/>
      <c r="I59" s="616"/>
      <c r="J59" s="616"/>
      <c r="K59" s="616"/>
      <c r="L59" s="616"/>
      <c r="M59" s="616"/>
      <c r="N59" s="616"/>
      <c r="O59" s="616"/>
      <c r="P59" s="616"/>
      <c r="Q59" s="616"/>
      <c r="R59" s="616"/>
      <c r="S59" s="616"/>
      <c r="T59" s="616"/>
      <c r="U59" s="616"/>
      <c r="V59" s="616"/>
      <c r="W59" s="616"/>
      <c r="X59" s="616"/>
      <c r="Y59" s="616"/>
      <c r="Z59" s="616"/>
      <c r="AA59" s="616"/>
      <c r="AB59" s="616"/>
      <c r="AC59" s="616"/>
      <c r="AD59" s="616"/>
      <c r="AE59" s="616"/>
      <c r="AF59" s="616"/>
      <c r="AG59" s="616"/>
      <c r="AH59" s="616"/>
      <c r="AI59" s="616"/>
      <c r="AJ59" s="616"/>
      <c r="AK59" s="616"/>
      <c r="AL59" s="616"/>
      <c r="AM59" s="616"/>
      <c r="AN59" s="616"/>
      <c r="AO59" s="616"/>
      <c r="AP59" s="616"/>
      <c r="AQ59" s="616"/>
      <c r="AR59" s="617"/>
      <c r="AS59" s="456"/>
      <c r="AT59" s="21"/>
    </row>
    <row r="60" spans="1:46" ht="15" customHeight="1">
      <c r="A60" s="73"/>
      <c r="B60" s="615"/>
      <c r="C60" s="616"/>
      <c r="D60" s="616"/>
      <c r="E60" s="616"/>
      <c r="F60" s="616"/>
      <c r="G60" s="616"/>
      <c r="H60" s="616"/>
      <c r="I60" s="616"/>
      <c r="J60" s="616"/>
      <c r="K60" s="616"/>
      <c r="L60" s="616"/>
      <c r="M60" s="616"/>
      <c r="N60" s="616"/>
      <c r="O60" s="616"/>
      <c r="P60" s="616"/>
      <c r="Q60" s="616"/>
      <c r="R60" s="616"/>
      <c r="S60" s="616"/>
      <c r="T60" s="616"/>
      <c r="U60" s="616"/>
      <c r="V60" s="616"/>
      <c r="W60" s="616"/>
      <c r="X60" s="616"/>
      <c r="Y60" s="616"/>
      <c r="Z60" s="616"/>
      <c r="AA60" s="616"/>
      <c r="AB60" s="616"/>
      <c r="AC60" s="616"/>
      <c r="AD60" s="616"/>
      <c r="AE60" s="616"/>
      <c r="AF60" s="616"/>
      <c r="AG60" s="616"/>
      <c r="AH60" s="616"/>
      <c r="AI60" s="616"/>
      <c r="AJ60" s="616"/>
      <c r="AK60" s="616"/>
      <c r="AL60" s="616"/>
      <c r="AM60" s="616"/>
      <c r="AN60" s="616"/>
      <c r="AO60" s="616"/>
      <c r="AP60" s="616"/>
      <c r="AQ60" s="616"/>
      <c r="AR60" s="617"/>
      <c r="AS60" s="456"/>
      <c r="AT60" s="21"/>
    </row>
    <row r="61" spans="1:46" ht="15" customHeight="1">
      <c r="A61" s="73"/>
      <c r="B61" s="615"/>
      <c r="C61" s="616"/>
      <c r="D61" s="616"/>
      <c r="E61" s="616"/>
      <c r="F61" s="616"/>
      <c r="G61" s="616"/>
      <c r="H61" s="616"/>
      <c r="I61" s="616"/>
      <c r="J61" s="616"/>
      <c r="K61" s="616"/>
      <c r="L61" s="616"/>
      <c r="M61" s="616"/>
      <c r="N61" s="616"/>
      <c r="O61" s="616"/>
      <c r="P61" s="616"/>
      <c r="Q61" s="616"/>
      <c r="R61" s="616"/>
      <c r="S61" s="616"/>
      <c r="T61" s="616"/>
      <c r="U61" s="616"/>
      <c r="V61" s="616"/>
      <c r="W61" s="616"/>
      <c r="X61" s="616"/>
      <c r="Y61" s="616"/>
      <c r="Z61" s="616"/>
      <c r="AA61" s="616"/>
      <c r="AB61" s="616"/>
      <c r="AC61" s="616"/>
      <c r="AD61" s="616"/>
      <c r="AE61" s="616"/>
      <c r="AF61" s="616"/>
      <c r="AG61" s="616"/>
      <c r="AH61" s="616"/>
      <c r="AI61" s="616"/>
      <c r="AJ61" s="616"/>
      <c r="AK61" s="616"/>
      <c r="AL61" s="616"/>
      <c r="AM61" s="616"/>
      <c r="AN61" s="616"/>
      <c r="AO61" s="616"/>
      <c r="AP61" s="616"/>
      <c r="AQ61" s="616"/>
      <c r="AR61" s="617"/>
      <c r="AS61" s="456"/>
      <c r="AT61" s="21"/>
    </row>
    <row r="62" spans="1:46" ht="15" customHeight="1">
      <c r="A62" s="73"/>
      <c r="B62" s="615"/>
      <c r="C62" s="616"/>
      <c r="D62" s="616"/>
      <c r="E62" s="616"/>
      <c r="F62" s="616"/>
      <c r="G62" s="616"/>
      <c r="H62" s="616"/>
      <c r="I62" s="616"/>
      <c r="J62" s="616"/>
      <c r="K62" s="616"/>
      <c r="L62" s="616"/>
      <c r="M62" s="616"/>
      <c r="N62" s="616"/>
      <c r="O62" s="616"/>
      <c r="P62" s="616"/>
      <c r="Q62" s="616"/>
      <c r="R62" s="616"/>
      <c r="S62" s="616"/>
      <c r="T62" s="616"/>
      <c r="U62" s="616"/>
      <c r="V62" s="616"/>
      <c r="W62" s="616"/>
      <c r="X62" s="616"/>
      <c r="Y62" s="616"/>
      <c r="Z62" s="616"/>
      <c r="AA62" s="616"/>
      <c r="AB62" s="616"/>
      <c r="AC62" s="616"/>
      <c r="AD62" s="616"/>
      <c r="AE62" s="616"/>
      <c r="AF62" s="616"/>
      <c r="AG62" s="616"/>
      <c r="AH62" s="616"/>
      <c r="AI62" s="616"/>
      <c r="AJ62" s="616"/>
      <c r="AK62" s="616"/>
      <c r="AL62" s="616"/>
      <c r="AM62" s="616"/>
      <c r="AN62" s="616"/>
      <c r="AO62" s="616"/>
      <c r="AP62" s="616"/>
      <c r="AQ62" s="616"/>
      <c r="AR62" s="617"/>
      <c r="AS62" s="456"/>
      <c r="AT62" s="21"/>
    </row>
    <row r="63" spans="1:46" ht="15" customHeight="1">
      <c r="A63" s="73"/>
      <c r="B63" s="618"/>
      <c r="C63" s="619"/>
      <c r="D63" s="619"/>
      <c r="E63" s="619"/>
      <c r="F63" s="619"/>
      <c r="G63" s="619"/>
      <c r="H63" s="619"/>
      <c r="I63" s="619"/>
      <c r="J63" s="619"/>
      <c r="K63" s="619"/>
      <c r="L63" s="619"/>
      <c r="M63" s="619"/>
      <c r="N63" s="619"/>
      <c r="O63" s="619"/>
      <c r="P63" s="619"/>
      <c r="Q63" s="619"/>
      <c r="R63" s="619"/>
      <c r="S63" s="619"/>
      <c r="T63" s="619"/>
      <c r="U63" s="619"/>
      <c r="V63" s="619"/>
      <c r="W63" s="619"/>
      <c r="X63" s="619"/>
      <c r="Y63" s="619"/>
      <c r="Z63" s="619"/>
      <c r="AA63" s="619"/>
      <c r="AB63" s="619"/>
      <c r="AC63" s="619"/>
      <c r="AD63" s="619"/>
      <c r="AE63" s="619"/>
      <c r="AF63" s="619"/>
      <c r="AG63" s="619"/>
      <c r="AH63" s="619"/>
      <c r="AI63" s="619"/>
      <c r="AJ63" s="619"/>
      <c r="AK63" s="619"/>
      <c r="AL63" s="619"/>
      <c r="AM63" s="619"/>
      <c r="AN63" s="619"/>
      <c r="AO63" s="619"/>
      <c r="AP63" s="619"/>
      <c r="AQ63" s="619"/>
      <c r="AR63" s="620"/>
      <c r="AS63" s="456"/>
      <c r="AT63" s="21"/>
    </row>
    <row r="64" spans="1:46" ht="15" customHeight="1">
      <c r="A64" s="73"/>
      <c r="G64" s="560"/>
      <c r="AF64" s="18"/>
      <c r="AI64" s="18"/>
      <c r="AJ64" s="18"/>
      <c r="AN64" s="456"/>
      <c r="AO64" s="456"/>
      <c r="AP64" s="456"/>
      <c r="AQ64" s="456"/>
      <c r="AR64" s="456"/>
      <c r="AS64" s="456"/>
      <c r="AT64" s="21"/>
    </row>
    <row r="65" spans="1:46" ht="15" customHeight="1" thickBot="1">
      <c r="A65" s="358"/>
      <c r="B65" s="165"/>
      <c r="C65" s="165"/>
      <c r="D65" s="165"/>
      <c r="E65" s="165"/>
      <c r="F65" s="174"/>
      <c r="G65" s="174"/>
      <c r="H65" s="174"/>
      <c r="I65" s="174"/>
      <c r="J65" s="165"/>
      <c r="K65" s="585"/>
      <c r="L65" s="174"/>
      <c r="M65" s="174"/>
      <c r="N65" s="174"/>
      <c r="O65" s="174"/>
      <c r="P65" s="174"/>
      <c r="Q65" s="174"/>
      <c r="R65" s="174"/>
      <c r="S65" s="174"/>
      <c r="T65" s="165"/>
      <c r="U65" s="174"/>
      <c r="V65" s="174"/>
      <c r="W65" s="174"/>
      <c r="X65" s="174"/>
      <c r="Y65" s="174"/>
      <c r="Z65" s="174"/>
      <c r="AA65" s="174"/>
      <c r="AB65" s="174"/>
      <c r="AC65" s="174"/>
      <c r="AD65" s="174"/>
      <c r="AE65" s="174"/>
      <c r="AF65" s="174"/>
      <c r="AG65" s="165"/>
      <c r="AH65" s="165"/>
      <c r="AI65" s="174"/>
      <c r="AJ65" s="174"/>
      <c r="AK65" s="165"/>
      <c r="AL65" s="165"/>
      <c r="AM65" s="165"/>
      <c r="AN65" s="586"/>
      <c r="AO65" s="586"/>
      <c r="AP65" s="586"/>
      <c r="AQ65" s="586"/>
      <c r="AR65" s="586"/>
      <c r="AS65" s="586"/>
      <c r="AT65" s="359"/>
    </row>
  </sheetData>
  <sheetProtection formatCells="0" selectLockedCells="1"/>
  <mergeCells count="3">
    <mergeCell ref="B31:AR36"/>
    <mergeCell ref="B4:AR30"/>
    <mergeCell ref="B37:AR63"/>
  </mergeCells>
  <printOptions horizontalCentered="1" verticalCentered="1"/>
  <pageMargins left="0.25" right="0.22" top="0.39370078740157499" bottom="0.23" header="0" footer="0"/>
  <pageSetup paperSize="9" scale="46" orientation="landscape" r:id="rId1"/>
  <headerFooter alignWithMargins="0">
    <oddHeader>&amp;LPELNG-F-MO.T2-0026 Rev. 00&amp;C&amp;REffective Date: 22/04/2026</oddHeader>
    <oddFooter>&amp;L&amp;C&amp;R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9A8AB-2B2C-4EDC-9671-C1E25FFF4E33}">
  <dimension ref="A1:AJ58"/>
  <sheetViews>
    <sheetView tabSelected="1" view="pageBreakPreview" zoomScale="57" zoomScaleNormal="81" zoomScaleSheetLayoutView="81" zoomScalePageLayoutView="54" workbookViewId="0">
      <selection activeCell="B27" sqref="B27"/>
    </sheetView>
  </sheetViews>
  <sheetFormatPr defaultColWidth="9.109375" defaultRowHeight="13.8"/>
  <cols>
    <col min="1" max="1" width="6.6640625" style="177" customWidth="1"/>
    <col min="2" max="2" width="6.6640625" style="15" customWidth="1"/>
    <col min="3" max="3" width="6.5546875" style="15" customWidth="1"/>
    <col min="4" max="5" width="6.6640625" style="15" customWidth="1"/>
    <col min="6" max="19" width="6.6640625" style="18" customWidth="1"/>
    <col min="20" max="20" width="6.6640625" style="15" customWidth="1"/>
    <col min="21" max="31" width="6.6640625" style="18" customWidth="1"/>
    <col min="32" max="34" width="6.6640625" style="15" customWidth="1"/>
    <col min="35" max="35" width="6.33203125" style="15" customWidth="1"/>
    <col min="36" max="36" width="8.5546875" style="15" customWidth="1"/>
    <col min="37" max="40" width="9.109375" style="15" customWidth="1"/>
    <col min="41" max="16384" width="9.109375" style="15"/>
  </cols>
  <sheetData>
    <row r="1" spans="1:36" ht="24.9" customHeight="1">
      <c r="A1" s="571" t="s">
        <v>738</v>
      </c>
      <c r="B1" s="572"/>
      <c r="C1" s="572"/>
      <c r="D1" s="572"/>
      <c r="E1" s="572"/>
      <c r="F1" s="572"/>
      <c r="G1" s="572"/>
      <c r="H1" s="572"/>
      <c r="I1" s="572"/>
      <c r="J1" s="572"/>
      <c r="K1" s="572"/>
      <c r="L1" s="572"/>
      <c r="M1" s="572"/>
      <c r="N1" s="572"/>
      <c r="O1" s="572"/>
      <c r="P1" s="572"/>
      <c r="Q1" s="572"/>
      <c r="R1" s="572"/>
      <c r="S1" s="572"/>
      <c r="T1" s="572"/>
      <c r="U1" s="572"/>
      <c r="V1" s="572"/>
      <c r="W1" s="572"/>
      <c r="X1" s="572"/>
      <c r="Y1" s="572"/>
      <c r="Z1" s="572"/>
      <c r="AA1" s="572"/>
      <c r="AB1" s="572"/>
      <c r="AC1" s="572"/>
      <c r="AD1" s="572"/>
      <c r="AE1" s="572"/>
      <c r="AF1" s="572"/>
      <c r="AG1" s="572"/>
      <c r="AH1" s="572"/>
      <c r="AI1" s="572"/>
      <c r="AJ1" s="574"/>
    </row>
    <row r="2" spans="1:36" ht="24.9" customHeight="1">
      <c r="A2" s="575"/>
      <c r="B2" s="576"/>
      <c r="C2" s="576"/>
      <c r="D2" s="576"/>
      <c r="E2" s="576"/>
      <c r="F2" s="576"/>
      <c r="G2" s="576"/>
      <c r="H2" s="576"/>
      <c r="I2" s="576"/>
      <c r="J2" s="576"/>
      <c r="K2" s="576"/>
      <c r="L2" s="576"/>
      <c r="M2" s="576"/>
      <c r="N2" s="576"/>
      <c r="O2" s="576"/>
      <c r="P2" s="576"/>
      <c r="Q2" s="576"/>
      <c r="R2" s="576"/>
      <c r="S2" s="576"/>
      <c r="T2" s="576"/>
      <c r="U2" s="576"/>
      <c r="V2" s="576"/>
      <c r="W2" s="576"/>
      <c r="X2" s="576"/>
      <c r="Y2" s="576"/>
      <c r="Z2" s="576"/>
      <c r="AA2" s="576"/>
      <c r="AB2" s="576"/>
      <c r="AC2" s="576"/>
      <c r="AD2" s="576"/>
      <c r="AE2" s="576"/>
      <c r="AF2" s="576"/>
      <c r="AG2" s="576"/>
      <c r="AH2" s="576"/>
      <c r="AI2" s="576"/>
      <c r="AJ2" s="577"/>
    </row>
    <row r="3" spans="1:36" s="67" customFormat="1" ht="29.4" customHeight="1">
      <c r="A3" s="578"/>
      <c r="B3" s="1317" t="s">
        <v>567</v>
      </c>
      <c r="C3" s="1318"/>
      <c r="D3" s="1319"/>
      <c r="E3" s="579"/>
      <c r="F3" s="579"/>
      <c r="G3" s="580"/>
      <c r="H3" s="579"/>
      <c r="I3" s="579"/>
      <c r="J3" s="579"/>
      <c r="K3" s="579"/>
      <c r="L3" s="579"/>
      <c r="M3" s="579"/>
      <c r="N3" s="579"/>
      <c r="O3" s="579"/>
      <c r="P3" s="579"/>
      <c r="Q3" s="579"/>
      <c r="R3" s="579"/>
      <c r="S3" s="1321"/>
      <c r="T3" s="1322"/>
      <c r="U3" s="1322"/>
      <c r="V3" s="1322"/>
      <c r="W3" s="1321"/>
      <c r="X3" s="1321"/>
      <c r="Y3" s="1321"/>
      <c r="Z3" s="1321"/>
      <c r="AA3" s="1321"/>
      <c r="AB3" s="1321"/>
      <c r="AC3" s="1321"/>
      <c r="AD3" s="1321"/>
      <c r="AE3" s="1321"/>
      <c r="AF3" s="1321"/>
      <c r="AG3" s="1321"/>
      <c r="AH3" s="1321"/>
      <c r="AI3" s="1321"/>
      <c r="AJ3" s="581"/>
    </row>
    <row r="4" spans="1:36" ht="15" customHeight="1">
      <c r="A4" s="73"/>
      <c r="B4" s="18"/>
      <c r="C4" s="18"/>
      <c r="D4" s="18"/>
      <c r="E4" s="18"/>
      <c r="S4" s="1323"/>
      <c r="T4" s="1324"/>
      <c r="U4" s="1323"/>
      <c r="V4" s="1323"/>
      <c r="W4" s="1323"/>
      <c r="X4" s="1323"/>
      <c r="Y4" s="1323"/>
      <c r="Z4" s="1323"/>
      <c r="AA4" s="1323"/>
      <c r="AB4" s="1323"/>
      <c r="AC4" s="1323"/>
      <c r="AD4" s="1323"/>
      <c r="AE4" s="1323"/>
      <c r="AF4" s="1324"/>
      <c r="AG4" s="1324"/>
      <c r="AH4" s="1324"/>
      <c r="AI4" s="1324"/>
      <c r="AJ4" s="21"/>
    </row>
    <row r="5" spans="1:36" ht="15" customHeight="1">
      <c r="A5" s="73"/>
      <c r="B5" s="18"/>
      <c r="C5" s="18"/>
      <c r="D5" s="18"/>
      <c r="E5" s="18"/>
      <c r="S5" s="1325"/>
      <c r="T5" s="1326"/>
      <c r="U5" s="1323"/>
      <c r="V5" s="1323"/>
      <c r="W5" s="1323"/>
      <c r="X5" s="1323"/>
      <c r="Y5" s="1323"/>
      <c r="Z5" s="1323"/>
      <c r="AA5" s="1323"/>
      <c r="AB5" s="1323"/>
      <c r="AC5" s="1323"/>
      <c r="AD5" s="1323"/>
      <c r="AE5" s="1323"/>
      <c r="AF5" s="1324"/>
      <c r="AG5" s="1324"/>
      <c r="AH5" s="1324"/>
      <c r="AI5" s="1323"/>
      <c r="AJ5" s="72"/>
    </row>
    <row r="6" spans="1:36" ht="15" customHeight="1">
      <c r="A6" s="73"/>
      <c r="B6" s="18"/>
      <c r="G6" s="30"/>
      <c r="H6" s="146"/>
      <c r="I6" s="146"/>
      <c r="J6" s="93"/>
      <c r="K6" s="93"/>
      <c r="L6" s="146"/>
      <c r="M6" s="93"/>
      <c r="N6" s="92"/>
      <c r="O6" s="75"/>
      <c r="P6" s="75"/>
      <c r="Q6" s="93"/>
      <c r="R6" s="290"/>
      <c r="S6" s="1327"/>
      <c r="T6" s="1327"/>
      <c r="U6" s="1327"/>
      <c r="V6" s="1327"/>
      <c r="W6" s="1327"/>
      <c r="X6" s="1327"/>
      <c r="Y6" s="1327"/>
      <c r="Z6" s="1327"/>
      <c r="AA6" s="1327"/>
      <c r="AB6" s="1327"/>
      <c r="AC6" s="1327"/>
      <c r="AD6" s="1327"/>
      <c r="AE6" s="1327"/>
      <c r="AF6" s="1327"/>
      <c r="AG6" s="1327"/>
      <c r="AH6" s="1327"/>
      <c r="AI6" s="1327"/>
      <c r="AJ6" s="21"/>
    </row>
    <row r="7" spans="1:36" ht="15" customHeight="1">
      <c r="A7" s="73"/>
      <c r="G7" s="528"/>
      <c r="H7" s="534"/>
      <c r="I7" s="237"/>
      <c r="J7" s="237"/>
      <c r="K7" s="15"/>
      <c r="L7" s="93"/>
      <c r="M7" s="93"/>
      <c r="N7" s="93"/>
      <c r="O7" s="83"/>
      <c r="P7" s="83"/>
      <c r="Q7" s="93"/>
      <c r="R7" s="83"/>
      <c r="S7" s="1327"/>
      <c r="T7" s="1327"/>
      <c r="U7" s="1327"/>
      <c r="V7" s="1327"/>
      <c r="W7" s="1327"/>
      <c r="X7" s="1327"/>
      <c r="Y7" s="1327"/>
      <c r="Z7" s="1327"/>
      <c r="AA7" s="1327"/>
      <c r="AB7" s="1327"/>
      <c r="AC7" s="1327"/>
      <c r="AD7" s="1327"/>
      <c r="AE7" s="1327"/>
      <c r="AF7" s="1327"/>
      <c r="AG7" s="1327"/>
      <c r="AH7" s="1327"/>
      <c r="AI7" s="1327"/>
      <c r="AJ7" s="583"/>
    </row>
    <row r="8" spans="1:36" ht="15" customHeight="1">
      <c r="A8" s="73"/>
      <c r="G8" s="528"/>
      <c r="H8" s="534"/>
      <c r="I8" s="93"/>
      <c r="J8" s="93"/>
      <c r="K8" s="15"/>
      <c r="L8" s="93"/>
      <c r="M8" s="93"/>
      <c r="N8" s="93"/>
      <c r="O8" s="83"/>
      <c r="P8" s="83"/>
      <c r="Q8" s="93"/>
      <c r="R8" s="83"/>
      <c r="S8" s="1327"/>
      <c r="T8" s="1327"/>
      <c r="U8" s="1327"/>
      <c r="V8" s="1327"/>
      <c r="W8" s="1327"/>
      <c r="X8" s="1327"/>
      <c r="Y8" s="1327"/>
      <c r="Z8" s="1327"/>
      <c r="AA8" s="1327"/>
      <c r="AB8" s="1327"/>
      <c r="AC8" s="1327"/>
      <c r="AD8" s="1327"/>
      <c r="AE8" s="1327"/>
      <c r="AF8" s="1327"/>
      <c r="AG8" s="1327"/>
      <c r="AH8" s="1327"/>
      <c r="AI8" s="1327"/>
      <c r="AJ8" s="587"/>
    </row>
    <row r="9" spans="1:36" ht="15" customHeight="1">
      <c r="A9" s="73"/>
      <c r="G9" s="528"/>
      <c r="H9" s="534"/>
      <c r="I9" s="93"/>
      <c r="J9" s="93"/>
      <c r="K9" s="15"/>
      <c r="L9" s="146"/>
      <c r="N9" s="93"/>
      <c r="O9" s="93"/>
      <c r="P9" s="93"/>
      <c r="Q9" s="93"/>
      <c r="R9" s="93"/>
      <c r="S9" s="1327"/>
      <c r="T9" s="1327"/>
      <c r="U9" s="1327"/>
      <c r="V9" s="1327"/>
      <c r="W9" s="1327"/>
      <c r="X9" s="1327"/>
      <c r="Y9" s="1327"/>
      <c r="Z9" s="1327"/>
      <c r="AA9" s="1327"/>
      <c r="AB9" s="1327"/>
      <c r="AC9" s="1327"/>
      <c r="AD9" s="1327"/>
      <c r="AE9" s="1327"/>
      <c r="AF9" s="1327"/>
      <c r="AG9" s="1327"/>
      <c r="AH9" s="1327"/>
      <c r="AI9" s="1327"/>
      <c r="AJ9" s="587"/>
    </row>
    <row r="10" spans="1:36" ht="15" customHeight="1">
      <c r="A10" s="73"/>
      <c r="G10" s="528"/>
      <c r="H10" s="534"/>
      <c r="I10" s="93"/>
      <c r="J10" s="93"/>
      <c r="K10" s="15"/>
      <c r="L10" s="393"/>
      <c r="N10" s="536"/>
      <c r="O10" s="93"/>
      <c r="P10" s="93"/>
      <c r="Q10" s="93"/>
      <c r="R10" s="536"/>
      <c r="S10" s="1327"/>
      <c r="T10" s="1327"/>
      <c r="U10" s="1327"/>
      <c r="V10" s="1327"/>
      <c r="W10" s="1327"/>
      <c r="X10" s="1327"/>
      <c r="Y10" s="1327"/>
      <c r="Z10" s="1327"/>
      <c r="AA10" s="1327"/>
      <c r="AB10" s="1327"/>
      <c r="AC10" s="1327"/>
      <c r="AD10" s="1327"/>
      <c r="AE10" s="1327"/>
      <c r="AF10" s="1327"/>
      <c r="AG10" s="1327"/>
      <c r="AH10" s="1327"/>
      <c r="AI10" s="1327"/>
      <c r="AJ10" s="587"/>
    </row>
    <row r="11" spans="1:36" ht="15" customHeight="1">
      <c r="A11" s="73"/>
      <c r="G11" s="528"/>
      <c r="H11" s="237"/>
      <c r="I11" s="237"/>
      <c r="J11" s="237"/>
      <c r="K11" s="16"/>
      <c r="L11" s="93"/>
      <c r="M11" s="93"/>
      <c r="N11" s="92"/>
      <c r="O11" s="93"/>
      <c r="P11" s="93"/>
      <c r="Q11" s="93"/>
      <c r="R11" s="536"/>
      <c r="S11" s="1327"/>
      <c r="T11" s="1327"/>
      <c r="U11" s="1327"/>
      <c r="V11" s="1327"/>
      <c r="W11" s="1327"/>
      <c r="X11" s="1327"/>
      <c r="Y11" s="1327"/>
      <c r="Z11" s="1327"/>
      <c r="AA11" s="1327"/>
      <c r="AB11" s="1327"/>
      <c r="AC11" s="1327"/>
      <c r="AD11" s="1327"/>
      <c r="AE11" s="1327"/>
      <c r="AF11" s="1327"/>
      <c r="AG11" s="1327"/>
      <c r="AH11" s="1327"/>
      <c r="AI11" s="1327"/>
      <c r="AJ11" s="587"/>
    </row>
    <row r="12" spans="1:36" ht="15" customHeight="1">
      <c r="A12" s="73"/>
      <c r="G12" s="302"/>
      <c r="H12" s="305"/>
      <c r="I12" s="146"/>
      <c r="J12" s="146"/>
      <c r="K12" s="93"/>
      <c r="L12" s="93"/>
      <c r="M12" s="93"/>
      <c r="N12" s="92"/>
      <c r="O12" s="93"/>
      <c r="P12" s="93"/>
      <c r="Q12" s="93"/>
      <c r="R12" s="93"/>
      <c r="S12" s="1327"/>
      <c r="T12" s="1327"/>
      <c r="U12" s="1327"/>
      <c r="V12" s="1327"/>
      <c r="W12" s="1327"/>
      <c r="X12" s="1327"/>
      <c r="Y12" s="1327"/>
      <c r="Z12" s="1327"/>
      <c r="AA12" s="1327"/>
      <c r="AB12" s="1327"/>
      <c r="AC12" s="1327"/>
      <c r="AD12" s="1327"/>
      <c r="AE12" s="1327"/>
      <c r="AF12" s="1327"/>
      <c r="AG12" s="1327"/>
      <c r="AH12" s="1327"/>
      <c r="AI12" s="1327"/>
      <c r="AJ12" s="587"/>
    </row>
    <row r="13" spans="1:36" ht="15" customHeight="1">
      <c r="A13" s="73"/>
      <c r="G13" s="302"/>
      <c r="H13" s="93"/>
      <c r="I13" s="93"/>
      <c r="J13" s="93"/>
      <c r="K13" s="93"/>
      <c r="L13" s="93"/>
      <c r="M13" s="93"/>
      <c r="N13" s="93"/>
      <c r="O13" s="97"/>
      <c r="P13" s="97"/>
      <c r="Q13" s="97"/>
      <c r="R13" s="97"/>
      <c r="S13" s="1327"/>
      <c r="T13" s="1327"/>
      <c r="U13" s="1327"/>
      <c r="V13" s="1327"/>
      <c r="W13" s="1327"/>
      <c r="X13" s="1327"/>
      <c r="Y13" s="1327"/>
      <c r="Z13" s="1327"/>
      <c r="AA13" s="1327"/>
      <c r="AB13" s="1327"/>
      <c r="AC13" s="1327"/>
      <c r="AD13" s="1327"/>
      <c r="AE13" s="1327"/>
      <c r="AF13" s="1327"/>
      <c r="AG13" s="1327"/>
      <c r="AH13" s="1327"/>
      <c r="AI13" s="1327"/>
      <c r="AJ13" s="587"/>
    </row>
    <row r="14" spans="1:36" ht="15" customHeight="1">
      <c r="A14" s="73"/>
      <c r="G14" s="302"/>
      <c r="H14" s="93"/>
      <c r="I14" s="93"/>
      <c r="J14" s="93"/>
      <c r="K14" s="93"/>
      <c r="L14" s="93"/>
      <c r="M14" s="93"/>
      <c r="N14" s="93"/>
      <c r="O14" s="97"/>
      <c r="P14" s="97"/>
      <c r="Q14" s="97"/>
      <c r="R14" s="97"/>
      <c r="S14" s="1327"/>
      <c r="T14" s="1327"/>
      <c r="U14" s="1327"/>
      <c r="V14" s="1327"/>
      <c r="W14" s="1327"/>
      <c r="X14" s="1327"/>
      <c r="Y14" s="1327"/>
      <c r="Z14" s="1327"/>
      <c r="AA14" s="1327"/>
      <c r="AB14" s="1327"/>
      <c r="AC14" s="1327"/>
      <c r="AD14" s="1327"/>
      <c r="AE14" s="1327"/>
      <c r="AF14" s="1327"/>
      <c r="AG14" s="1327"/>
      <c r="AH14" s="1327"/>
      <c r="AI14" s="1327"/>
      <c r="AJ14" s="21"/>
    </row>
    <row r="15" spans="1:36" ht="15" customHeight="1">
      <c r="A15" s="73"/>
      <c r="G15" s="588"/>
      <c r="H15" s="93"/>
      <c r="I15" s="93"/>
      <c r="J15" s="93"/>
      <c r="K15" s="93"/>
      <c r="L15" s="93"/>
      <c r="M15" s="93"/>
      <c r="N15" s="93"/>
      <c r="O15" s="97"/>
      <c r="P15" s="97"/>
      <c r="Q15" s="97"/>
      <c r="R15" s="97"/>
      <c r="S15" s="1327"/>
      <c r="T15" s="1327"/>
      <c r="U15" s="1327"/>
      <c r="V15" s="1327"/>
      <c r="W15" s="1327"/>
      <c r="X15" s="1327"/>
      <c r="Y15" s="1327"/>
      <c r="Z15" s="1327"/>
      <c r="AA15" s="1327"/>
      <c r="AB15" s="1327"/>
      <c r="AC15" s="1327"/>
      <c r="AD15" s="1327"/>
      <c r="AE15" s="1327"/>
      <c r="AF15" s="1327"/>
      <c r="AG15" s="1327"/>
      <c r="AH15" s="1327"/>
      <c r="AI15" s="1327"/>
      <c r="AJ15" s="21"/>
    </row>
    <row r="16" spans="1:36" ht="15" customHeight="1">
      <c r="A16" s="73"/>
      <c r="G16" s="93"/>
      <c r="H16" s="97"/>
      <c r="I16" s="97"/>
      <c r="J16" s="97"/>
      <c r="K16" s="97"/>
      <c r="L16" s="97"/>
      <c r="M16" s="97"/>
      <c r="N16" s="97"/>
      <c r="O16" s="97"/>
      <c r="P16" s="97"/>
      <c r="Q16" s="97"/>
      <c r="R16" s="97"/>
      <c r="S16" s="1327"/>
      <c r="T16" s="1327"/>
      <c r="U16" s="1327"/>
      <c r="V16" s="1327"/>
      <c r="W16" s="1327"/>
      <c r="X16" s="1327"/>
      <c r="Y16" s="1327"/>
      <c r="Z16" s="1327"/>
      <c r="AA16" s="1327"/>
      <c r="AB16" s="1327"/>
      <c r="AC16" s="1327"/>
      <c r="AD16" s="1327"/>
      <c r="AE16" s="1327"/>
      <c r="AF16" s="1327"/>
      <c r="AG16" s="1327"/>
      <c r="AH16" s="1327"/>
      <c r="AI16" s="1327"/>
      <c r="AJ16" s="72"/>
    </row>
    <row r="17" spans="1:36" ht="15" customHeight="1">
      <c r="A17" s="73"/>
      <c r="G17" s="30"/>
      <c r="H17" s="93"/>
      <c r="I17" s="93"/>
      <c r="J17" s="93"/>
      <c r="K17" s="93"/>
      <c r="L17" s="93"/>
      <c r="M17" s="93"/>
      <c r="N17" s="93"/>
      <c r="O17" s="93"/>
      <c r="P17" s="93"/>
      <c r="Q17" s="93"/>
      <c r="R17" s="93"/>
      <c r="S17" s="1327"/>
      <c r="T17" s="1327"/>
      <c r="U17" s="1327"/>
      <c r="V17" s="1327"/>
      <c r="W17" s="1327"/>
      <c r="X17" s="1327"/>
      <c r="Y17" s="1327"/>
      <c r="Z17" s="1327"/>
      <c r="AA17" s="1327"/>
      <c r="AB17" s="1327"/>
      <c r="AC17" s="1327"/>
      <c r="AD17" s="1327"/>
      <c r="AE17" s="1327"/>
      <c r="AF17" s="1327"/>
      <c r="AG17" s="1327"/>
      <c r="AH17" s="1327"/>
      <c r="AI17" s="1327"/>
      <c r="AJ17" s="21"/>
    </row>
    <row r="18" spans="1:36" ht="15" customHeight="1">
      <c r="A18" s="73"/>
      <c r="G18" s="528"/>
      <c r="H18" s="15"/>
      <c r="I18" s="15"/>
      <c r="K18" s="15"/>
      <c r="L18" s="93"/>
      <c r="M18" s="93"/>
      <c r="N18" s="93"/>
      <c r="O18" s="93"/>
      <c r="P18" s="93"/>
      <c r="Q18" s="93"/>
      <c r="R18" s="93"/>
      <c r="S18" s="1327"/>
      <c r="T18" s="1327"/>
      <c r="U18" s="1327"/>
      <c r="V18" s="1327"/>
      <c r="W18" s="1327"/>
      <c r="X18" s="1327"/>
      <c r="Y18" s="1327"/>
      <c r="Z18" s="1327"/>
      <c r="AA18" s="1327"/>
      <c r="AB18" s="1327"/>
      <c r="AC18" s="1327"/>
      <c r="AD18" s="1327"/>
      <c r="AE18" s="1327"/>
      <c r="AF18" s="1327"/>
      <c r="AG18" s="1327"/>
      <c r="AH18" s="1327"/>
      <c r="AI18" s="1327"/>
      <c r="AJ18" s="21"/>
    </row>
    <row r="19" spans="1:36" ht="15" customHeight="1">
      <c r="A19" s="73"/>
      <c r="G19" s="528"/>
      <c r="H19" s="305"/>
      <c r="I19" s="237"/>
      <c r="J19" s="237"/>
      <c r="K19" s="15"/>
      <c r="L19" s="93"/>
      <c r="M19" s="93"/>
      <c r="N19" s="93"/>
      <c r="O19" s="93"/>
      <c r="P19" s="93"/>
      <c r="Q19" s="93"/>
      <c r="R19" s="93"/>
      <c r="S19" s="1327"/>
      <c r="T19" s="1327"/>
      <c r="U19" s="1327"/>
      <c r="V19" s="1327"/>
      <c r="W19" s="1327"/>
      <c r="X19" s="1327"/>
      <c r="Y19" s="1327"/>
      <c r="Z19" s="1327"/>
      <c r="AA19" s="1327"/>
      <c r="AB19" s="1327"/>
      <c r="AC19" s="1327"/>
      <c r="AD19" s="1327"/>
      <c r="AE19" s="1327"/>
      <c r="AF19" s="1327"/>
      <c r="AG19" s="1327"/>
      <c r="AH19" s="1327"/>
      <c r="AI19" s="1327"/>
      <c r="AJ19" s="589"/>
    </row>
    <row r="20" spans="1:36" ht="15" customHeight="1">
      <c r="A20" s="73"/>
      <c r="G20" s="528"/>
      <c r="H20" s="93"/>
      <c r="I20" s="15"/>
      <c r="J20" s="15"/>
      <c r="K20" s="15"/>
      <c r="L20" s="146"/>
      <c r="M20" s="93"/>
      <c r="N20" s="93"/>
      <c r="O20" s="93"/>
      <c r="P20" s="93"/>
      <c r="Q20" s="93"/>
      <c r="R20" s="93"/>
      <c r="S20" s="1327"/>
      <c r="T20" s="1327"/>
      <c r="U20" s="1327"/>
      <c r="V20" s="1327"/>
      <c r="W20" s="1327"/>
      <c r="X20" s="1327"/>
      <c r="Y20" s="1327"/>
      <c r="Z20" s="1327"/>
      <c r="AA20" s="1327"/>
      <c r="AB20" s="1327"/>
      <c r="AC20" s="1327"/>
      <c r="AD20" s="1327"/>
      <c r="AE20" s="1327"/>
      <c r="AF20" s="1327"/>
      <c r="AG20" s="1327"/>
      <c r="AH20" s="1327"/>
      <c r="AI20" s="1327"/>
      <c r="AJ20" s="589"/>
    </row>
    <row r="21" spans="1:36" ht="15" customHeight="1">
      <c r="A21" s="73"/>
      <c r="G21" s="528"/>
      <c r="H21" s="93"/>
      <c r="I21" s="15"/>
      <c r="J21" s="15"/>
      <c r="K21" s="15"/>
      <c r="L21" s="393"/>
      <c r="M21" s="93"/>
      <c r="N21" s="93"/>
      <c r="O21" s="93"/>
      <c r="P21" s="93"/>
      <c r="Q21" s="93"/>
      <c r="R21" s="93"/>
      <c r="S21" s="1327"/>
      <c r="T21" s="1327"/>
      <c r="U21" s="1327"/>
      <c r="V21" s="1327"/>
      <c r="W21" s="1327"/>
      <c r="X21" s="1327"/>
      <c r="Y21" s="1327"/>
      <c r="Z21" s="1327"/>
      <c r="AA21" s="1327"/>
      <c r="AB21" s="1327"/>
      <c r="AC21" s="1327"/>
      <c r="AD21" s="1327"/>
      <c r="AE21" s="1327"/>
      <c r="AF21" s="1327"/>
      <c r="AG21" s="1327"/>
      <c r="AH21" s="1327"/>
      <c r="AI21" s="1327"/>
      <c r="AJ21" s="589"/>
    </row>
    <row r="22" spans="1:36" ht="15" customHeight="1">
      <c r="A22" s="73"/>
      <c r="G22" s="528"/>
      <c r="H22" s="237"/>
      <c r="I22" s="237"/>
      <c r="J22" s="15"/>
      <c r="K22" s="15"/>
      <c r="L22" s="93"/>
      <c r="M22" s="93"/>
      <c r="N22" s="93"/>
      <c r="O22" s="93"/>
      <c r="P22" s="93"/>
      <c r="Q22" s="93"/>
      <c r="R22" s="93"/>
      <c r="S22" s="1327"/>
      <c r="T22" s="1327"/>
      <c r="U22" s="1327"/>
      <c r="V22" s="1327"/>
      <c r="W22" s="1327"/>
      <c r="X22" s="1327"/>
      <c r="Y22" s="1327"/>
      <c r="Z22" s="1327"/>
      <c r="AA22" s="1327"/>
      <c r="AB22" s="1327"/>
      <c r="AC22" s="1327"/>
      <c r="AD22" s="1327"/>
      <c r="AE22" s="1327"/>
      <c r="AF22" s="1327"/>
      <c r="AG22" s="1327"/>
      <c r="AH22" s="1327"/>
      <c r="AI22" s="1327"/>
      <c r="AJ22" s="589"/>
    </row>
    <row r="23" spans="1:36" ht="15" customHeight="1">
      <c r="A23" s="73"/>
      <c r="G23" s="302"/>
      <c r="H23" s="305"/>
      <c r="I23" s="146"/>
      <c r="J23" s="93"/>
      <c r="K23" s="93"/>
      <c r="L23" s="93"/>
      <c r="M23" s="93"/>
      <c r="N23" s="93"/>
      <c r="O23" s="93"/>
      <c r="P23" s="93"/>
      <c r="Q23" s="93"/>
      <c r="R23" s="146"/>
      <c r="S23" s="1327"/>
      <c r="T23" s="1327"/>
      <c r="U23" s="1327"/>
      <c r="V23" s="1327"/>
      <c r="W23" s="1327"/>
      <c r="X23" s="1327"/>
      <c r="Y23" s="1327"/>
      <c r="Z23" s="1327"/>
      <c r="AA23" s="1327"/>
      <c r="AB23" s="1327"/>
      <c r="AC23" s="1327"/>
      <c r="AD23" s="1327"/>
      <c r="AE23" s="1327"/>
      <c r="AF23" s="1327"/>
      <c r="AG23" s="1327"/>
      <c r="AH23" s="1327"/>
      <c r="AI23" s="1327"/>
      <c r="AJ23" s="589"/>
    </row>
    <row r="24" spans="1:36" ht="15" customHeight="1">
      <c r="A24" s="73"/>
      <c r="G24" s="302"/>
      <c r="H24" s="93"/>
      <c r="I24" s="93"/>
      <c r="J24" s="93"/>
      <c r="K24" s="93"/>
      <c r="L24" s="93"/>
      <c r="M24" s="93"/>
      <c r="N24" s="93"/>
      <c r="O24" s="97"/>
      <c r="P24" s="97"/>
      <c r="Q24" s="97"/>
      <c r="R24" s="97"/>
      <c r="S24" s="1327"/>
      <c r="T24" s="1327"/>
      <c r="U24" s="1327"/>
      <c r="V24" s="1327"/>
      <c r="W24" s="1327"/>
      <c r="X24" s="1327"/>
      <c r="Y24" s="1327"/>
      <c r="Z24" s="1327"/>
      <c r="AA24" s="1327"/>
      <c r="AB24" s="1327"/>
      <c r="AC24" s="1327"/>
      <c r="AD24" s="1327"/>
      <c r="AE24" s="1327"/>
      <c r="AF24" s="1327"/>
      <c r="AG24" s="1327"/>
      <c r="AH24" s="1327"/>
      <c r="AI24" s="1327"/>
      <c r="AJ24" s="589"/>
    </row>
    <row r="25" spans="1:36" ht="15" customHeight="1" thickBot="1">
      <c r="A25" s="73"/>
      <c r="G25" s="302"/>
      <c r="H25" s="93"/>
      <c r="I25" s="93"/>
      <c r="J25" s="77"/>
      <c r="K25" s="77"/>
      <c r="L25" s="77"/>
      <c r="M25" s="77"/>
      <c r="N25" s="77"/>
      <c r="O25" s="96"/>
      <c r="P25" s="96"/>
      <c r="Q25" s="96"/>
      <c r="R25" s="96"/>
      <c r="S25" s="1327"/>
      <c r="T25" s="1327"/>
      <c r="U25" s="1327"/>
      <c r="V25" s="1327"/>
      <c r="W25" s="1327"/>
      <c r="X25" s="1327"/>
      <c r="Y25" s="1327"/>
      <c r="Z25" s="1327"/>
      <c r="AA25" s="1327"/>
      <c r="AB25" s="1327"/>
      <c r="AC25" s="1327"/>
      <c r="AD25" s="1327"/>
      <c r="AE25" s="1327"/>
      <c r="AF25" s="1327"/>
      <c r="AG25" s="1327"/>
      <c r="AH25" s="1327"/>
      <c r="AI25" s="1327"/>
      <c r="AJ25" s="589"/>
    </row>
    <row r="26" spans="1:36" ht="22.2" customHeight="1" thickBot="1">
      <c r="A26" s="73"/>
      <c r="B26" s="1317" t="s">
        <v>664</v>
      </c>
      <c r="C26" s="1318"/>
      <c r="D26" s="1319"/>
      <c r="G26" s="560"/>
      <c r="H26" s="77"/>
      <c r="I26" s="77"/>
      <c r="J26" s="77"/>
      <c r="K26" s="77"/>
      <c r="L26" s="77"/>
      <c r="M26" s="77"/>
      <c r="N26" s="77"/>
      <c r="O26" s="96"/>
      <c r="P26" s="96"/>
      <c r="Q26" s="96"/>
      <c r="R26" s="96"/>
      <c r="S26" s="1327"/>
      <c r="T26" s="1327"/>
      <c r="U26" s="1327"/>
      <c r="V26" s="1327"/>
      <c r="W26" s="1327"/>
      <c r="X26" s="1327"/>
      <c r="Y26" s="1327"/>
      <c r="Z26" s="1327"/>
      <c r="AA26" s="1327"/>
      <c r="AB26" s="1327"/>
      <c r="AC26" s="1327"/>
      <c r="AD26" s="1327"/>
      <c r="AE26" s="1327"/>
      <c r="AF26" s="1327"/>
      <c r="AG26" s="1327"/>
      <c r="AH26" s="1327"/>
      <c r="AI26" s="1327"/>
      <c r="AJ26" s="589"/>
    </row>
    <row r="27" spans="1:36" ht="15" customHeight="1">
      <c r="A27" s="73"/>
      <c r="C27" s="590"/>
      <c r="D27" s="590"/>
      <c r="E27" s="590"/>
      <c r="F27" s="590"/>
      <c r="G27" s="590"/>
      <c r="H27" s="590"/>
      <c r="I27" s="97"/>
      <c r="J27" s="97"/>
      <c r="K27" s="97"/>
      <c r="L27" s="97"/>
      <c r="M27" s="97"/>
      <c r="N27" s="97"/>
      <c r="O27" s="97"/>
      <c r="P27" s="97"/>
      <c r="Q27" s="97"/>
      <c r="R27" s="97"/>
      <c r="S27" s="1327"/>
      <c r="T27" s="1327"/>
      <c r="U27" s="1327"/>
      <c r="V27" s="1327"/>
      <c r="W27" s="1327"/>
      <c r="X27" s="1327"/>
      <c r="Y27" s="1327"/>
      <c r="Z27" s="1327"/>
      <c r="AA27" s="1327"/>
      <c r="AB27" s="1327"/>
      <c r="AC27" s="1327"/>
      <c r="AD27" s="1327"/>
      <c r="AE27" s="1327"/>
      <c r="AF27" s="1327"/>
      <c r="AG27" s="1327"/>
      <c r="AH27" s="1327"/>
      <c r="AI27" s="1327"/>
      <c r="AJ27" s="589"/>
    </row>
    <row r="28" spans="1:36" ht="15" customHeight="1">
      <c r="A28" s="73"/>
      <c r="B28" s="1320" t="str">
        <f>"SDPs on board of "&amp;UPPER('page 1'!AC7)</f>
        <v xml:space="preserve">SDPs on board of </v>
      </c>
      <c r="C28" s="1320"/>
      <c r="D28" s="1320"/>
      <c r="E28" s="1320"/>
      <c r="F28" s="1320"/>
      <c r="G28" s="1320"/>
      <c r="H28" s="1320"/>
      <c r="I28" s="1320"/>
      <c r="J28" s="1320"/>
      <c r="K28" s="1320"/>
      <c r="L28" s="1320"/>
      <c r="M28" s="93"/>
      <c r="N28" s="93"/>
      <c r="O28" s="93"/>
      <c r="P28" s="93"/>
      <c r="Q28" s="93"/>
      <c r="R28" s="93"/>
      <c r="S28" s="1327"/>
      <c r="T28" s="1327"/>
      <c r="U28" s="1327"/>
      <c r="V28" s="1327"/>
      <c r="W28" s="1327"/>
      <c r="X28" s="1327"/>
      <c r="Y28" s="1327"/>
      <c r="Z28" s="1327"/>
      <c r="AA28" s="1327"/>
      <c r="AB28" s="1327"/>
      <c r="AC28" s="1327"/>
      <c r="AD28" s="1327"/>
      <c r="AE28" s="1327"/>
      <c r="AF28" s="1327"/>
      <c r="AG28" s="1327"/>
      <c r="AH28" s="1327"/>
      <c r="AI28" s="1327"/>
      <c r="AJ28" s="589"/>
    </row>
    <row r="29" spans="1:36" ht="15" customHeight="1">
      <c r="A29" s="73"/>
      <c r="B29" s="1320"/>
      <c r="C29" s="1320"/>
      <c r="D29" s="1320"/>
      <c r="E29" s="1320"/>
      <c r="F29" s="1320"/>
      <c r="G29" s="1320"/>
      <c r="H29" s="1320"/>
      <c r="I29" s="1320"/>
      <c r="J29" s="1320"/>
      <c r="K29" s="1320"/>
      <c r="L29" s="1320"/>
      <c r="M29" s="93"/>
      <c r="N29" s="93"/>
      <c r="O29" s="93"/>
      <c r="P29" s="93"/>
      <c r="Q29" s="93"/>
      <c r="R29" s="93"/>
      <c r="S29" s="1327"/>
      <c r="T29" s="1327"/>
      <c r="U29" s="1327"/>
      <c r="V29" s="1327"/>
      <c r="W29" s="1327"/>
      <c r="X29" s="1327"/>
      <c r="Y29" s="1327"/>
      <c r="Z29" s="1327"/>
      <c r="AA29" s="1327"/>
      <c r="AB29" s="1327"/>
      <c r="AC29" s="1327"/>
      <c r="AD29" s="1327"/>
      <c r="AE29" s="1327"/>
      <c r="AF29" s="1327"/>
      <c r="AG29" s="1327"/>
      <c r="AH29" s="1327"/>
      <c r="AI29" s="1327"/>
      <c r="AJ29" s="589"/>
    </row>
    <row r="30" spans="1:36" ht="15" customHeight="1">
      <c r="A30" s="73"/>
      <c r="B30" s="1308" t="s">
        <v>739</v>
      </c>
      <c r="C30" s="1308"/>
      <c r="D30" s="1308"/>
      <c r="E30" s="1308"/>
      <c r="F30" s="1308"/>
      <c r="G30" s="528"/>
      <c r="H30" s="1300" t="s">
        <v>30</v>
      </c>
      <c r="I30" s="1309"/>
      <c r="J30" s="1309"/>
      <c r="K30" s="1309"/>
      <c r="L30" s="1309"/>
      <c r="M30" s="1310" t="s">
        <v>364</v>
      </c>
      <c r="N30" s="93"/>
      <c r="O30" s="1311" t="str">
        <f>IF(OR(I30&lt;595,I30&gt;598.5),"**Unacceptable**","Acceptable")</f>
        <v>**Unacceptable**</v>
      </c>
      <c r="P30" s="1312"/>
      <c r="Q30" s="1313"/>
      <c r="R30" s="591"/>
      <c r="S30" s="1327"/>
      <c r="T30" s="1327"/>
      <c r="U30" s="1327"/>
      <c r="V30" s="1327"/>
      <c r="W30" s="1327"/>
      <c r="X30" s="1327"/>
      <c r="Y30" s="1327"/>
      <c r="Z30" s="1327"/>
      <c r="AA30" s="1327"/>
      <c r="AB30" s="1327"/>
      <c r="AC30" s="1327"/>
      <c r="AD30" s="1327"/>
      <c r="AE30" s="1327"/>
      <c r="AF30" s="1327"/>
      <c r="AG30" s="1327"/>
      <c r="AH30" s="1327"/>
      <c r="AI30" s="1327"/>
      <c r="AJ30" s="589"/>
    </row>
    <row r="31" spans="1:36" ht="15" customHeight="1">
      <c r="A31" s="73"/>
      <c r="B31" s="1308"/>
      <c r="C31" s="1308"/>
      <c r="D31" s="1308"/>
      <c r="E31" s="1308"/>
      <c r="F31" s="1308"/>
      <c r="G31" s="528"/>
      <c r="H31" s="1300"/>
      <c r="I31" s="1309"/>
      <c r="J31" s="1309"/>
      <c r="K31" s="1309"/>
      <c r="L31" s="1309"/>
      <c r="M31" s="1310"/>
      <c r="N31" s="93"/>
      <c r="O31" s="1314"/>
      <c r="P31" s="1315"/>
      <c r="Q31" s="1316"/>
      <c r="R31" s="591"/>
      <c r="S31" s="1327"/>
      <c r="T31" s="1327"/>
      <c r="U31" s="1327"/>
      <c r="V31" s="1327"/>
      <c r="W31" s="1327"/>
      <c r="X31" s="1327"/>
      <c r="Y31" s="1327"/>
      <c r="Z31" s="1327"/>
      <c r="AA31" s="1327"/>
      <c r="AB31" s="1327"/>
      <c r="AC31" s="1327"/>
      <c r="AD31" s="1327"/>
      <c r="AE31" s="1327"/>
      <c r="AF31" s="1327"/>
      <c r="AG31" s="1327"/>
      <c r="AH31" s="1327"/>
      <c r="AI31" s="1327"/>
      <c r="AJ31" s="589"/>
    </row>
    <row r="32" spans="1:36" ht="15" customHeight="1">
      <c r="A32" s="73"/>
      <c r="G32" s="528"/>
      <c r="H32" s="93"/>
      <c r="I32" s="16"/>
      <c r="J32" s="16"/>
      <c r="K32" s="16"/>
      <c r="L32" s="94"/>
      <c r="M32" s="93"/>
      <c r="N32" s="93"/>
      <c r="O32" s="93"/>
      <c r="P32" s="93"/>
      <c r="Q32" s="93"/>
      <c r="R32" s="93"/>
      <c r="S32" s="1327"/>
      <c r="T32" s="1327"/>
      <c r="U32" s="1327"/>
      <c r="V32" s="1327"/>
      <c r="W32" s="1327"/>
      <c r="X32" s="1327"/>
      <c r="Y32" s="1327"/>
      <c r="Z32" s="1327"/>
      <c r="AA32" s="1327"/>
      <c r="AB32" s="1327"/>
      <c r="AC32" s="1327"/>
      <c r="AD32" s="1327"/>
      <c r="AE32" s="1327"/>
      <c r="AF32" s="1327"/>
      <c r="AG32" s="1327"/>
      <c r="AH32" s="1327"/>
      <c r="AI32" s="1327"/>
      <c r="AJ32" s="589"/>
    </row>
    <row r="33" spans="1:36" ht="15" customHeight="1">
      <c r="A33" s="73"/>
      <c r="B33" s="1308" t="s">
        <v>740</v>
      </c>
      <c r="C33" s="1308"/>
      <c r="D33" s="1308"/>
      <c r="E33" s="1308"/>
      <c r="F33" s="1308"/>
      <c r="G33" s="528"/>
      <c r="H33" s="1300" t="s">
        <v>30</v>
      </c>
      <c r="I33" s="1309"/>
      <c r="J33" s="1309"/>
      <c r="K33" s="1309"/>
      <c r="L33" s="1309"/>
      <c r="M33" s="1310" t="s">
        <v>364</v>
      </c>
      <c r="N33" s="93"/>
      <c r="O33" s="1311" t="str">
        <f>IF(OR(I33&lt;36.6,I33&gt;41),"**Unacceptable**","Acceptable")</f>
        <v>**Unacceptable**</v>
      </c>
      <c r="P33" s="1312"/>
      <c r="Q33" s="1313"/>
      <c r="R33" s="93"/>
      <c r="S33" s="1327"/>
      <c r="T33" s="1327"/>
      <c r="U33" s="1327"/>
      <c r="V33" s="1327"/>
      <c r="W33" s="1327"/>
      <c r="X33" s="1327"/>
      <c r="Y33" s="1327"/>
      <c r="Z33" s="1327"/>
      <c r="AA33" s="1327"/>
      <c r="AB33" s="1327"/>
      <c r="AC33" s="1327"/>
      <c r="AD33" s="1327"/>
      <c r="AE33" s="1327"/>
      <c r="AF33" s="1327"/>
      <c r="AG33" s="1327"/>
      <c r="AH33" s="1327"/>
      <c r="AI33" s="1327"/>
      <c r="AJ33" s="589"/>
    </row>
    <row r="34" spans="1:36" ht="15" customHeight="1">
      <c r="A34" s="73"/>
      <c r="B34" s="1308"/>
      <c r="C34" s="1308"/>
      <c r="D34" s="1308"/>
      <c r="E34" s="1308"/>
      <c r="F34" s="1308"/>
      <c r="G34" s="302"/>
      <c r="H34" s="1300"/>
      <c r="I34" s="1309"/>
      <c r="J34" s="1309"/>
      <c r="K34" s="1309"/>
      <c r="L34" s="1309"/>
      <c r="M34" s="1310"/>
      <c r="N34" s="93"/>
      <c r="O34" s="1314"/>
      <c r="P34" s="1315"/>
      <c r="Q34" s="1316"/>
      <c r="R34" s="146"/>
      <c r="S34" s="1327"/>
      <c r="T34" s="1327"/>
      <c r="U34" s="1327"/>
      <c r="V34" s="1327"/>
      <c r="W34" s="1327"/>
      <c r="X34" s="1327"/>
      <c r="Y34" s="1327"/>
      <c r="Z34" s="1327"/>
      <c r="AA34" s="1327"/>
      <c r="AB34" s="1327"/>
      <c r="AC34" s="1327"/>
      <c r="AD34" s="1327"/>
      <c r="AE34" s="1327"/>
      <c r="AF34" s="1327"/>
      <c r="AG34" s="1327"/>
      <c r="AH34" s="1327"/>
      <c r="AI34" s="1327"/>
      <c r="AJ34" s="589"/>
    </row>
    <row r="35" spans="1:36" ht="15" customHeight="1">
      <c r="A35" s="73"/>
      <c r="G35" s="302"/>
      <c r="H35" s="93"/>
      <c r="I35" s="592"/>
      <c r="J35" s="92"/>
      <c r="K35" s="92"/>
      <c r="L35" s="92"/>
      <c r="M35" s="93"/>
      <c r="N35" s="93"/>
      <c r="O35" s="97"/>
      <c r="P35" s="97"/>
      <c r="Q35" s="97"/>
      <c r="R35" s="97"/>
      <c r="S35" s="1327"/>
      <c r="T35" s="1327"/>
      <c r="U35" s="1327"/>
      <c r="V35" s="1327"/>
      <c r="W35" s="1327"/>
      <c r="X35" s="1327"/>
      <c r="Y35" s="1327"/>
      <c r="Z35" s="1327"/>
      <c r="AA35" s="1327"/>
      <c r="AB35" s="1327"/>
      <c r="AC35" s="1327"/>
      <c r="AD35" s="1327"/>
      <c r="AE35" s="1327"/>
      <c r="AF35" s="1327"/>
      <c r="AG35" s="1327"/>
      <c r="AH35" s="1327"/>
      <c r="AI35" s="1327"/>
      <c r="AJ35" s="589"/>
    </row>
    <row r="36" spans="1:36" ht="15" customHeight="1">
      <c r="A36" s="73"/>
      <c r="B36" s="1308" t="s">
        <v>741</v>
      </c>
      <c r="C36" s="1308"/>
      <c r="D36" s="1308"/>
      <c r="E36" s="1308"/>
      <c r="F36" s="1308"/>
      <c r="G36" s="302"/>
      <c r="H36" s="1300" t="s">
        <v>30</v>
      </c>
      <c r="I36" s="1309"/>
      <c r="J36" s="1309"/>
      <c r="K36" s="1309"/>
      <c r="L36" s="1309"/>
      <c r="M36" s="1310" t="s">
        <v>364</v>
      </c>
      <c r="N36" s="96"/>
      <c r="O36" s="1311" t="str">
        <f>IF(OR(I36&lt;460,I36&gt;470),"**Unacceptable**","Acceptable")</f>
        <v>**Unacceptable**</v>
      </c>
      <c r="P36" s="1312"/>
      <c r="Q36" s="1313"/>
      <c r="R36" s="96"/>
      <c r="S36" s="1327"/>
      <c r="T36" s="1327"/>
      <c r="U36" s="1327"/>
      <c r="V36" s="1327"/>
      <c r="W36" s="1327"/>
      <c r="X36" s="1327"/>
      <c r="Y36" s="1327"/>
      <c r="Z36" s="1327"/>
      <c r="AA36" s="1327"/>
      <c r="AB36" s="1327"/>
      <c r="AC36" s="1327"/>
      <c r="AD36" s="1327"/>
      <c r="AE36" s="1327"/>
      <c r="AF36" s="1327"/>
      <c r="AG36" s="1327"/>
      <c r="AH36" s="1327"/>
      <c r="AI36" s="1327"/>
      <c r="AJ36" s="589"/>
    </row>
    <row r="37" spans="1:36" ht="15" customHeight="1">
      <c r="A37" s="73"/>
      <c r="B37" s="1308"/>
      <c r="C37" s="1308"/>
      <c r="D37" s="1308"/>
      <c r="E37" s="1308"/>
      <c r="F37" s="1308"/>
      <c r="G37" s="560"/>
      <c r="H37" s="1300"/>
      <c r="I37" s="1309"/>
      <c r="J37" s="1309"/>
      <c r="K37" s="1309"/>
      <c r="L37" s="1309"/>
      <c r="M37" s="1310"/>
      <c r="N37" s="96"/>
      <c r="O37" s="1314"/>
      <c r="P37" s="1315"/>
      <c r="Q37" s="1316"/>
      <c r="R37" s="96"/>
      <c r="S37" s="1327"/>
      <c r="T37" s="1327"/>
      <c r="U37" s="1327"/>
      <c r="V37" s="1327"/>
      <c r="W37" s="1327"/>
      <c r="X37" s="1327"/>
      <c r="Y37" s="1327"/>
      <c r="Z37" s="1327"/>
      <c r="AA37" s="1327"/>
      <c r="AB37" s="1327"/>
      <c r="AC37" s="1327"/>
      <c r="AD37" s="1327"/>
      <c r="AE37" s="1327"/>
      <c r="AF37" s="1327"/>
      <c r="AG37" s="1327"/>
      <c r="AH37" s="1327"/>
      <c r="AI37" s="1327"/>
      <c r="AJ37" s="589"/>
    </row>
    <row r="38" spans="1:36" ht="15" customHeight="1">
      <c r="A38" s="73"/>
      <c r="G38" s="560"/>
      <c r="H38" s="77"/>
      <c r="I38" s="592"/>
      <c r="J38" s="136"/>
      <c r="K38" s="136"/>
      <c r="L38" s="136"/>
      <c r="M38" s="77"/>
      <c r="N38" s="77"/>
      <c r="O38" s="96"/>
      <c r="P38" s="96"/>
      <c r="Q38" s="96"/>
      <c r="R38" s="96"/>
      <c r="S38" s="1327"/>
      <c r="T38" s="1327"/>
      <c r="U38" s="1327"/>
      <c r="V38" s="1327"/>
      <c r="W38" s="1327"/>
      <c r="X38" s="1327"/>
      <c r="Y38" s="1327"/>
      <c r="Z38" s="1327"/>
      <c r="AA38" s="1327"/>
      <c r="AB38" s="1327"/>
      <c r="AC38" s="1327"/>
      <c r="AD38" s="1327"/>
      <c r="AE38" s="1327"/>
      <c r="AF38" s="1327"/>
      <c r="AG38" s="1327"/>
      <c r="AH38" s="1327"/>
      <c r="AI38" s="1327"/>
      <c r="AJ38" s="589"/>
    </row>
    <row r="39" spans="1:36" ht="15" customHeight="1">
      <c r="A39" s="73"/>
      <c r="B39" s="1308" t="s">
        <v>742</v>
      </c>
      <c r="C39" s="1308"/>
      <c r="D39" s="1308"/>
      <c r="E39" s="1308"/>
      <c r="F39" s="1308"/>
      <c r="G39" s="30"/>
      <c r="H39" s="1300" t="s">
        <v>30</v>
      </c>
      <c r="I39" s="1309"/>
      <c r="J39" s="1309"/>
      <c r="K39" s="1309"/>
      <c r="L39" s="1309"/>
      <c r="M39" s="1310" t="s">
        <v>364</v>
      </c>
      <c r="N39" s="77"/>
      <c r="O39" s="1311" t="str">
        <f>IF(OR(I39&gt;387,I39=0),"**Unacceptable**","Acceptable")</f>
        <v>**Unacceptable**</v>
      </c>
      <c r="P39" s="1312"/>
      <c r="Q39" s="1313"/>
      <c r="R39" s="96"/>
      <c r="S39" s="1327"/>
      <c r="T39" s="1327"/>
      <c r="U39" s="1327"/>
      <c r="V39" s="1327"/>
      <c r="W39" s="1327"/>
      <c r="X39" s="1327"/>
      <c r="Y39" s="1327"/>
      <c r="Z39" s="1327"/>
      <c r="AA39" s="1327"/>
      <c r="AB39" s="1327"/>
      <c r="AC39" s="1327"/>
      <c r="AD39" s="1327"/>
      <c r="AE39" s="1327"/>
      <c r="AF39" s="1327"/>
      <c r="AG39" s="1327"/>
      <c r="AH39" s="1327"/>
      <c r="AI39" s="1327"/>
      <c r="AJ39" s="593"/>
    </row>
    <row r="40" spans="1:36" ht="15" customHeight="1">
      <c r="A40" s="73"/>
      <c r="B40" s="1308"/>
      <c r="C40" s="1308"/>
      <c r="D40" s="1308"/>
      <c r="E40" s="1308"/>
      <c r="F40" s="1308"/>
      <c r="G40" s="528"/>
      <c r="H40" s="1300"/>
      <c r="I40" s="1309"/>
      <c r="J40" s="1309"/>
      <c r="K40" s="1309"/>
      <c r="L40" s="1309"/>
      <c r="M40" s="1310"/>
      <c r="N40" s="15"/>
      <c r="O40" s="1314"/>
      <c r="P40" s="1315"/>
      <c r="Q40" s="1316"/>
      <c r="R40" s="96"/>
      <c r="S40" s="1327"/>
      <c r="T40" s="1327"/>
      <c r="U40" s="1327"/>
      <c r="V40" s="1327"/>
      <c r="W40" s="1327"/>
      <c r="X40" s="1327"/>
      <c r="Y40" s="1327"/>
      <c r="Z40" s="1327"/>
      <c r="AA40" s="1327"/>
      <c r="AB40" s="1327"/>
      <c r="AC40" s="1327"/>
      <c r="AD40" s="1327"/>
      <c r="AE40" s="1327"/>
      <c r="AF40" s="1327"/>
      <c r="AG40" s="1327"/>
      <c r="AH40" s="1327"/>
      <c r="AI40" s="1327"/>
      <c r="AJ40" s="72"/>
    </row>
    <row r="41" spans="1:36" ht="15" customHeight="1">
      <c r="A41" s="73"/>
      <c r="B41" s="594"/>
      <c r="G41" s="528"/>
      <c r="H41" s="77"/>
      <c r="I41" s="136"/>
      <c r="J41" s="136"/>
      <c r="K41" s="16"/>
      <c r="L41" s="92"/>
      <c r="M41" s="77"/>
      <c r="N41" s="77"/>
      <c r="O41" s="96"/>
      <c r="P41" s="96"/>
      <c r="Q41" s="96"/>
      <c r="R41" s="96"/>
      <c r="S41" s="1327"/>
      <c r="T41" s="1327"/>
      <c r="U41" s="1327"/>
      <c r="V41" s="1327"/>
      <c r="W41" s="1327"/>
      <c r="X41" s="1327"/>
      <c r="Y41" s="1327"/>
      <c r="Z41" s="1327"/>
      <c r="AA41" s="1327"/>
      <c r="AB41" s="1327"/>
      <c r="AC41" s="1327"/>
      <c r="AD41" s="1327"/>
      <c r="AE41" s="1327"/>
      <c r="AF41" s="1327"/>
      <c r="AG41" s="1327"/>
      <c r="AH41" s="1327"/>
      <c r="AI41" s="1327"/>
      <c r="AJ41" s="21"/>
    </row>
    <row r="42" spans="1:36" ht="15" customHeight="1">
      <c r="A42" s="73"/>
      <c r="B42" s="1308" t="s">
        <v>743</v>
      </c>
      <c r="C42" s="1308"/>
      <c r="D42" s="1308"/>
      <c r="E42" s="1308"/>
      <c r="F42" s="1308"/>
      <c r="G42" s="528"/>
      <c r="H42" s="1300" t="s">
        <v>30</v>
      </c>
      <c r="I42" s="1309"/>
      <c r="J42" s="1309"/>
      <c r="K42" s="1309"/>
      <c r="L42" s="1309"/>
      <c r="M42" s="15" t="s">
        <v>744</v>
      </c>
      <c r="N42" s="1310" t="s">
        <v>745</v>
      </c>
      <c r="O42" s="1311" t="str">
        <f>IF(OR(I43&lt;3.2,I42&gt;12.5),"**Unacceptable**","Acceptable")</f>
        <v>**Unacceptable**</v>
      </c>
      <c r="P42" s="1312"/>
      <c r="Q42" s="1313"/>
      <c r="R42" s="96"/>
      <c r="S42" s="1327"/>
      <c r="T42" s="1327"/>
      <c r="U42" s="1327"/>
      <c r="V42" s="1327"/>
      <c r="W42" s="1327"/>
      <c r="X42" s="1327"/>
      <c r="Y42" s="1327"/>
      <c r="Z42" s="1327"/>
      <c r="AA42" s="1327"/>
      <c r="AB42" s="1327"/>
      <c r="AC42" s="1327"/>
      <c r="AD42" s="1327"/>
      <c r="AE42" s="1327"/>
      <c r="AF42" s="1327"/>
      <c r="AG42" s="1327"/>
      <c r="AH42" s="1327"/>
      <c r="AI42" s="1327"/>
      <c r="AJ42" s="21"/>
    </row>
    <row r="43" spans="1:36" ht="15" customHeight="1">
      <c r="A43" s="73"/>
      <c r="B43" s="1308"/>
      <c r="C43" s="1308"/>
      <c r="D43" s="1308"/>
      <c r="E43" s="1308"/>
      <c r="F43" s="1308"/>
      <c r="H43" s="1300"/>
      <c r="I43" s="1298"/>
      <c r="J43" s="1298"/>
      <c r="K43" s="1298"/>
      <c r="L43" s="1298"/>
      <c r="M43" s="15" t="s">
        <v>506</v>
      </c>
      <c r="N43" s="1310"/>
      <c r="O43" s="1314"/>
      <c r="P43" s="1315"/>
      <c r="Q43" s="1316"/>
      <c r="S43" s="1327"/>
      <c r="T43" s="1327"/>
      <c r="U43" s="1327"/>
      <c r="V43" s="1327"/>
      <c r="W43" s="1327"/>
      <c r="X43" s="1327"/>
      <c r="Y43" s="1327"/>
      <c r="Z43" s="1327"/>
      <c r="AA43" s="1327"/>
      <c r="AB43" s="1327"/>
      <c r="AC43" s="1327"/>
      <c r="AD43" s="1327"/>
      <c r="AE43" s="1327"/>
      <c r="AF43" s="1327"/>
      <c r="AG43" s="1327"/>
      <c r="AH43" s="1327"/>
      <c r="AI43" s="1327"/>
      <c r="AJ43" s="72"/>
    </row>
    <row r="44" spans="1:36" ht="15" customHeight="1">
      <c r="A44" s="73"/>
      <c r="K44" s="15"/>
      <c r="L44" s="534"/>
      <c r="M44" s="534"/>
      <c r="N44" s="534"/>
      <c r="O44" s="534"/>
      <c r="P44" s="534"/>
      <c r="Q44" s="534"/>
      <c r="R44" s="534"/>
      <c r="S44" s="1327"/>
      <c r="T44" s="1327"/>
      <c r="U44" s="1327"/>
      <c r="V44" s="1327"/>
      <c r="W44" s="1327"/>
      <c r="X44" s="1327"/>
      <c r="Y44" s="1327"/>
      <c r="Z44" s="1327"/>
      <c r="AA44" s="1327"/>
      <c r="AB44" s="1327"/>
      <c r="AC44" s="1327"/>
      <c r="AD44" s="1327"/>
      <c r="AE44" s="1327"/>
      <c r="AF44" s="1327"/>
      <c r="AG44" s="1327"/>
      <c r="AH44" s="1327"/>
      <c r="AI44" s="1327"/>
      <c r="AJ44" s="595"/>
    </row>
    <row r="45" spans="1:36" ht="15" customHeight="1">
      <c r="A45" s="73"/>
      <c r="B45" s="1299" t="s">
        <v>746</v>
      </c>
      <c r="C45" s="1299"/>
      <c r="D45" s="1299"/>
      <c r="E45" s="1299"/>
      <c r="F45" s="1299"/>
      <c r="G45" s="15"/>
      <c r="H45" s="1300" t="s">
        <v>30</v>
      </c>
      <c r="I45" s="1301"/>
      <c r="J45" s="1301"/>
      <c r="K45" s="1301"/>
      <c r="L45" s="1301"/>
      <c r="M45" s="861" t="s">
        <v>498</v>
      </c>
      <c r="N45" s="15"/>
      <c r="O45" s="15"/>
      <c r="P45" s="15"/>
      <c r="Q45" s="15"/>
      <c r="R45" s="15"/>
      <c r="S45" s="1327"/>
      <c r="T45" s="1327"/>
      <c r="U45" s="1327"/>
      <c r="V45" s="1327"/>
      <c r="W45" s="1327"/>
      <c r="X45" s="1327"/>
      <c r="Y45" s="1327"/>
      <c r="Z45" s="1327"/>
      <c r="AA45" s="1327"/>
      <c r="AB45" s="1327"/>
      <c r="AC45" s="1327"/>
      <c r="AD45" s="1327"/>
      <c r="AE45" s="1327"/>
      <c r="AF45" s="1327"/>
      <c r="AG45" s="1327"/>
      <c r="AH45" s="1327"/>
      <c r="AI45" s="1327"/>
      <c r="AJ45" s="596"/>
    </row>
    <row r="46" spans="1:36" ht="15" customHeight="1">
      <c r="A46" s="73"/>
      <c r="B46" s="1299"/>
      <c r="C46" s="1299"/>
      <c r="D46" s="1299"/>
      <c r="E46" s="1299"/>
      <c r="F46" s="1299"/>
      <c r="G46" s="15"/>
      <c r="H46" s="1300"/>
      <c r="I46" s="1301"/>
      <c r="J46" s="1301"/>
      <c r="K46" s="1301"/>
      <c r="L46" s="1301"/>
      <c r="M46" s="861"/>
      <c r="N46" s="15"/>
      <c r="O46" s="15"/>
      <c r="P46" s="15"/>
      <c r="Q46" s="15"/>
      <c r="R46" s="15"/>
      <c r="S46" s="1327"/>
      <c r="T46" s="1327"/>
      <c r="U46" s="1327"/>
      <c r="V46" s="1327"/>
      <c r="W46" s="1327"/>
      <c r="X46" s="1327"/>
      <c r="Y46" s="1327"/>
      <c r="Z46" s="1327"/>
      <c r="AA46" s="1327"/>
      <c r="AB46" s="1327"/>
      <c r="AC46" s="1327"/>
      <c r="AD46" s="1327"/>
      <c r="AE46" s="1327"/>
      <c r="AF46" s="1327"/>
      <c r="AG46" s="1327"/>
      <c r="AH46" s="1327"/>
      <c r="AI46" s="1327"/>
      <c r="AJ46" s="596"/>
    </row>
    <row r="47" spans="1:36" ht="15" customHeight="1">
      <c r="A47" s="73"/>
      <c r="H47" s="93"/>
      <c r="I47" s="97"/>
      <c r="J47" s="93"/>
      <c r="K47" s="93"/>
      <c r="L47" s="93"/>
      <c r="M47" s="93"/>
      <c r="N47" s="93"/>
      <c r="O47" s="93"/>
      <c r="S47" s="1327"/>
      <c r="T47" s="1327"/>
      <c r="U47" s="1327"/>
      <c r="V47" s="1327"/>
      <c r="W47" s="1327"/>
      <c r="X47" s="1327"/>
      <c r="Y47" s="1327"/>
      <c r="Z47" s="1327"/>
      <c r="AA47" s="1327"/>
      <c r="AB47" s="1327"/>
      <c r="AC47" s="1327"/>
      <c r="AD47" s="1327"/>
      <c r="AE47" s="1327"/>
      <c r="AF47" s="1327"/>
      <c r="AG47" s="1327"/>
      <c r="AH47" s="1327"/>
      <c r="AI47" s="1327"/>
      <c r="AJ47" s="596"/>
    </row>
    <row r="48" spans="1:36" ht="15" customHeight="1">
      <c r="A48" s="73"/>
      <c r="B48" s="1302" t="s">
        <v>747</v>
      </c>
      <c r="C48" s="1303"/>
      <c r="D48" s="1303"/>
      <c r="E48" s="1303"/>
      <c r="F48" s="1303"/>
      <c r="G48" s="1303"/>
      <c r="H48" s="1303"/>
      <c r="I48" s="1303"/>
      <c r="J48" s="1303"/>
      <c r="K48" s="1303"/>
      <c r="L48" s="1303"/>
      <c r="M48" s="1303"/>
      <c r="N48" s="1303"/>
      <c r="O48" s="1303"/>
      <c r="P48" s="1303"/>
      <c r="Q48" s="1304"/>
      <c r="S48" s="1327"/>
      <c r="T48" s="1327"/>
      <c r="U48" s="1327"/>
      <c r="V48" s="1327"/>
      <c r="W48" s="1327"/>
      <c r="X48" s="1327"/>
      <c r="Y48" s="1327"/>
      <c r="Z48" s="1327"/>
      <c r="AA48" s="1327"/>
      <c r="AB48" s="1327"/>
      <c r="AC48" s="1327"/>
      <c r="AD48" s="1327"/>
      <c r="AE48" s="1327"/>
      <c r="AF48" s="1327"/>
      <c r="AG48" s="1327"/>
      <c r="AH48" s="1327"/>
      <c r="AI48" s="1327"/>
      <c r="AJ48" s="596"/>
    </row>
    <row r="49" spans="1:36" ht="15" customHeight="1">
      <c r="A49" s="73"/>
      <c r="B49" s="1305"/>
      <c r="C49" s="1306"/>
      <c r="D49" s="1306"/>
      <c r="E49" s="1306"/>
      <c r="F49" s="1306"/>
      <c r="G49" s="1306"/>
      <c r="H49" s="1306"/>
      <c r="I49" s="1306"/>
      <c r="J49" s="1306"/>
      <c r="K49" s="1306"/>
      <c r="L49" s="1306"/>
      <c r="M49" s="1306"/>
      <c r="N49" s="1306"/>
      <c r="O49" s="1306"/>
      <c r="P49" s="1306"/>
      <c r="Q49" s="1307"/>
      <c r="S49" s="1327"/>
      <c r="T49" s="1327"/>
      <c r="U49" s="1327"/>
      <c r="V49" s="1327"/>
      <c r="W49" s="1327"/>
      <c r="X49" s="1327"/>
      <c r="Y49" s="1327"/>
      <c r="Z49" s="1327"/>
      <c r="AA49" s="1327"/>
      <c r="AB49" s="1327"/>
      <c r="AC49" s="1327"/>
      <c r="AD49" s="1327"/>
      <c r="AE49" s="1327"/>
      <c r="AF49" s="1327"/>
      <c r="AG49" s="1327"/>
      <c r="AH49" s="1327"/>
      <c r="AI49" s="1327"/>
      <c r="AJ49" s="596"/>
    </row>
    <row r="50" spans="1:36" ht="15" customHeight="1">
      <c r="A50" s="73"/>
      <c r="B50" s="1292" t="s">
        <v>748</v>
      </c>
      <c r="C50" s="1293"/>
      <c r="D50" s="1293"/>
      <c r="E50" s="1293"/>
      <c r="F50" s="1293"/>
      <c r="G50" s="1293"/>
      <c r="H50" s="1293"/>
      <c r="I50" s="1293"/>
      <c r="J50" s="1293"/>
      <c r="K50" s="1293"/>
      <c r="L50" s="1293"/>
      <c r="M50" s="1293"/>
      <c r="N50" s="1293"/>
      <c r="O50" s="1293"/>
      <c r="P50" s="1293"/>
      <c r="Q50" s="1294"/>
      <c r="R50" s="597"/>
      <c r="S50" s="1327"/>
      <c r="T50" s="1327"/>
      <c r="U50" s="1327"/>
      <c r="V50" s="1327"/>
      <c r="W50" s="1327"/>
      <c r="X50" s="1327"/>
      <c r="Y50" s="1327"/>
      <c r="Z50" s="1327"/>
      <c r="AA50" s="1327"/>
      <c r="AB50" s="1327"/>
      <c r="AC50" s="1327"/>
      <c r="AD50" s="1327"/>
      <c r="AE50" s="1327"/>
      <c r="AF50" s="1327"/>
      <c r="AG50" s="1327"/>
      <c r="AH50" s="1327"/>
      <c r="AI50" s="1327"/>
      <c r="AJ50" s="596"/>
    </row>
    <row r="51" spans="1:36" ht="15" customHeight="1">
      <c r="A51" s="358"/>
      <c r="B51" s="1295"/>
      <c r="C51" s="1296"/>
      <c r="D51" s="1296"/>
      <c r="E51" s="1296"/>
      <c r="F51" s="1296"/>
      <c r="G51" s="1296"/>
      <c r="H51" s="1296"/>
      <c r="I51" s="1296"/>
      <c r="J51" s="1296"/>
      <c r="K51" s="1296"/>
      <c r="L51" s="1296"/>
      <c r="M51" s="1296"/>
      <c r="N51" s="1296"/>
      <c r="O51" s="1296"/>
      <c r="P51" s="1296"/>
      <c r="Q51" s="1297"/>
      <c r="R51" s="598"/>
      <c r="S51" s="174"/>
      <c r="T51" s="165"/>
      <c r="U51" s="569"/>
      <c r="V51" s="530"/>
      <c r="W51" s="174"/>
      <c r="X51" s="174"/>
      <c r="Y51" s="174"/>
      <c r="Z51" s="174"/>
      <c r="AA51" s="174"/>
      <c r="AB51" s="174"/>
      <c r="AC51" s="174"/>
      <c r="AD51" s="174"/>
      <c r="AE51" s="174"/>
      <c r="AF51" s="165"/>
      <c r="AG51" s="165"/>
      <c r="AH51" s="165"/>
      <c r="AI51" s="569"/>
      <c r="AJ51" s="599"/>
    </row>
    <row r="52" spans="1:36" ht="15" customHeight="1">
      <c r="A52" s="73"/>
      <c r="B52" s="18"/>
      <c r="AI52" s="270"/>
      <c r="AJ52" s="93"/>
    </row>
    <row r="53" spans="1:36" ht="15" customHeight="1">
      <c r="A53" s="73"/>
      <c r="I53" s="15"/>
      <c r="AI53" s="18"/>
      <c r="AJ53" s="18"/>
    </row>
    <row r="54" spans="1:36" ht="15" customHeight="1">
      <c r="A54" s="73"/>
      <c r="B54" s="18"/>
      <c r="C54" s="18"/>
      <c r="D54" s="18"/>
      <c r="E54" s="18"/>
      <c r="H54" s="77"/>
      <c r="V54" s="96"/>
      <c r="AI54" s="18"/>
      <c r="AJ54" s="30"/>
    </row>
    <row r="55" spans="1:36" ht="15" customHeight="1">
      <c r="A55" s="73"/>
      <c r="B55" s="18"/>
      <c r="C55" s="18"/>
      <c r="D55" s="18"/>
      <c r="E55" s="18"/>
      <c r="G55" s="560"/>
      <c r="H55" s="93"/>
      <c r="U55" s="560"/>
      <c r="V55" s="32"/>
      <c r="W55" s="600"/>
      <c r="X55" s="600"/>
      <c r="Y55" s="600"/>
      <c r="Z55" s="600"/>
      <c r="AA55" s="600"/>
      <c r="AB55" s="32"/>
      <c r="AC55" s="32"/>
      <c r="AF55" s="18"/>
      <c r="AI55" s="18"/>
      <c r="AJ55" s="18"/>
    </row>
    <row r="56" spans="1:36" ht="15" customHeight="1">
      <c r="A56" s="73"/>
      <c r="B56" s="18"/>
      <c r="C56" s="18"/>
      <c r="D56" s="18"/>
      <c r="E56" s="18"/>
      <c r="G56" s="560"/>
      <c r="H56" s="96"/>
      <c r="I56" s="96"/>
      <c r="U56" s="560"/>
      <c r="V56" s="149"/>
      <c r="W56" s="149"/>
      <c r="X56" s="149"/>
      <c r="Y56" s="149"/>
      <c r="Z56" s="149"/>
      <c r="AA56" s="149"/>
      <c r="AB56" s="149"/>
      <c r="AC56" s="149"/>
      <c r="AF56" s="18"/>
      <c r="AI56" s="18"/>
      <c r="AJ56" s="18"/>
    </row>
    <row r="57" spans="1:36" ht="15" customHeight="1">
      <c r="A57" s="73"/>
      <c r="B57" s="18"/>
      <c r="C57" s="18"/>
      <c r="D57" s="18"/>
      <c r="E57" s="18"/>
      <c r="G57" s="560"/>
      <c r="U57" s="560"/>
      <c r="V57" s="204"/>
      <c r="W57" s="32"/>
      <c r="X57" s="32"/>
      <c r="Y57" s="32"/>
      <c r="Z57" s="32"/>
      <c r="AA57" s="32"/>
      <c r="AB57" s="32"/>
      <c r="AC57" s="32"/>
      <c r="AF57" s="18"/>
      <c r="AI57" s="18"/>
      <c r="AJ57" s="18"/>
    </row>
    <row r="58" spans="1:36" ht="15" customHeight="1">
      <c r="A58" s="73"/>
      <c r="B58" s="18"/>
      <c r="C58" s="18"/>
      <c r="D58" s="18"/>
      <c r="E58" s="18"/>
      <c r="G58" s="560"/>
      <c r="H58" s="93"/>
      <c r="T58" s="16"/>
      <c r="U58" s="560"/>
      <c r="V58" s="32"/>
      <c r="W58" s="80"/>
      <c r="X58" s="32"/>
      <c r="Y58" s="32"/>
      <c r="Z58" s="32"/>
      <c r="AA58" s="32"/>
      <c r="AB58" s="32"/>
      <c r="AC58" s="32"/>
      <c r="AF58" s="18"/>
      <c r="AI58" s="18"/>
      <c r="AJ58" s="18"/>
    </row>
  </sheetData>
  <sheetProtection formatCells="0" selectLockedCells="1"/>
  <mergeCells count="35">
    <mergeCell ref="B26:D26"/>
    <mergeCell ref="B3:D3"/>
    <mergeCell ref="B28:L29"/>
    <mergeCell ref="B30:F31"/>
    <mergeCell ref="H30:H31"/>
    <mergeCell ref="I30:L31"/>
    <mergeCell ref="M30:M31"/>
    <mergeCell ref="O30:Q31"/>
    <mergeCell ref="B33:F34"/>
    <mergeCell ref="H33:H34"/>
    <mergeCell ref="I33:L34"/>
    <mergeCell ref="M33:M34"/>
    <mergeCell ref="O33:Q34"/>
    <mergeCell ref="B36:F37"/>
    <mergeCell ref="H36:H37"/>
    <mergeCell ref="I36:L37"/>
    <mergeCell ref="M36:M37"/>
    <mergeCell ref="O36:Q37"/>
    <mergeCell ref="B39:F40"/>
    <mergeCell ref="H39:H40"/>
    <mergeCell ref="I39:L40"/>
    <mergeCell ref="M39:M40"/>
    <mergeCell ref="O39:Q40"/>
    <mergeCell ref="B50:Q51"/>
    <mergeCell ref="I43:L43"/>
    <mergeCell ref="B45:F46"/>
    <mergeCell ref="H45:H46"/>
    <mergeCell ref="I45:L46"/>
    <mergeCell ref="M45:M46"/>
    <mergeCell ref="B48:Q49"/>
    <mergeCell ref="B42:F43"/>
    <mergeCell ref="H42:H43"/>
    <mergeCell ref="I42:L42"/>
    <mergeCell ref="N42:N43"/>
    <mergeCell ref="O42:Q43"/>
  </mergeCells>
  <conditionalFormatting sqref="I30:L31 I33:L34 I36:L37 I39:L40 I42:L43 I45:L46">
    <cfRule type="containsBlanks" dxfId="5" priority="6" stopIfTrue="1">
      <formula>LEN(TRIM(I30))=0</formula>
    </cfRule>
  </conditionalFormatting>
  <conditionalFormatting sqref="O30:Q31">
    <cfRule type="containsText" dxfId="4" priority="5" stopIfTrue="1" operator="containsText" text="un">
      <formula>NOT(ISERROR(SEARCH("un",O30)))</formula>
    </cfRule>
  </conditionalFormatting>
  <conditionalFormatting sqref="O33:Q34">
    <cfRule type="containsText" dxfId="3" priority="4" stopIfTrue="1" operator="containsText" text="un">
      <formula>NOT(ISERROR(SEARCH("un",O33)))</formula>
    </cfRule>
  </conditionalFormatting>
  <conditionalFormatting sqref="O36:Q37">
    <cfRule type="containsText" dxfId="2" priority="3" stopIfTrue="1" operator="containsText" text="un">
      <formula>NOT(ISERROR(SEARCH("un",O36)))</formula>
    </cfRule>
  </conditionalFormatting>
  <conditionalFormatting sqref="O39:Q40">
    <cfRule type="containsText" dxfId="1" priority="2" stopIfTrue="1" operator="containsText" text="un">
      <formula>NOT(ISERROR(SEARCH("un",O39)))</formula>
    </cfRule>
  </conditionalFormatting>
  <conditionalFormatting sqref="O42:Q43">
    <cfRule type="containsText" dxfId="0" priority="1" stopIfTrue="1" operator="containsText" text="un">
      <formula>NOT(ISERROR(SEARCH("un",O42)))</formula>
    </cfRule>
  </conditionalFormatting>
  <dataValidations count="1">
    <dataValidation type="list" allowBlank="1" showInputMessage="1" showErrorMessage="1" sqref="I45:L46" xr:uid="{7CDD0ABD-BE14-49D6-A6CC-053CC2ABF4DE}">
      <formula1>"4,5,6,7,8,9,10,?"</formula1>
    </dataValidation>
  </dataValidations>
  <printOptions horizontalCentered="1" verticalCentered="1"/>
  <pageMargins left="0.25" right="0.22" top="0.39370078740157499" bottom="0.23" header="0" footer="0"/>
  <pageSetup paperSize="9" scale="59" orientation="landscape" r:id="rId1"/>
  <headerFooter alignWithMargins="0">
    <oddHeader>&amp;LPELNG-F-MO.T2-0026 Rev. 00&amp;C&amp;REffective Date: 22/04/2026</oddHeader>
    <oddFooter>&amp;L&amp;C&amp;R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cType xmlns="EF58787B-14CE-4790-80C4-699338D613C9">F,S</DocType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17ECC5A5B48B844963A7AAB8C275E62" ma:contentTypeVersion="" ma:contentTypeDescription="Create a new document." ma:contentTypeScope="" ma:versionID="e19033e89608a17e9837e3a894bebf4b">
  <xsd:schema xmlns:xsd="http://www.w3.org/2001/XMLSchema" xmlns:xs="http://www.w3.org/2001/XMLSchema" xmlns:p="http://schemas.microsoft.com/office/2006/metadata/properties" xmlns:ns2="EF58787B-14CE-4790-80C4-699338D613C9" targetNamespace="http://schemas.microsoft.com/office/2006/metadata/properties" ma:root="true" ma:fieldsID="6cd617c811f52159cc17a75bc0e46940" ns2:_="">
    <xsd:import namespace="EF58787B-14CE-4790-80C4-699338D613C9"/>
    <xsd:element name="properties">
      <xsd:complexType>
        <xsd:sequence>
          <xsd:element name="documentManagement">
            <xsd:complexType>
              <xsd:all>
                <xsd:element ref="ns2:DocTyp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58787B-14CE-4790-80C4-699338D613C9" elementFormDefault="qualified">
    <xsd:import namespace="http://schemas.microsoft.com/office/2006/documentManagement/types"/>
    <xsd:import namespace="http://schemas.microsoft.com/office/infopath/2007/PartnerControls"/>
    <xsd:element name="DocType" ma:index="8" nillable="true" ma:displayName="DocType" ma:internalName="DocType">
      <xsd:simpleType>
        <xsd:restriction base="dms:Text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0A92A0E-3900-4019-90F0-C97B7BB7B1AC}">
  <ds:schemaRefs>
    <ds:schemaRef ds:uri="http://schemas.microsoft.com/office/2006/metadata/properties"/>
    <ds:schemaRef ds:uri="http://schemas.microsoft.com/office/infopath/2007/PartnerControls"/>
    <ds:schemaRef ds:uri="EF58787B-14CE-4790-80C4-699338D613C9"/>
  </ds:schemaRefs>
</ds:datastoreItem>
</file>

<file path=customXml/itemProps2.xml><?xml version="1.0" encoding="utf-8"?>
<ds:datastoreItem xmlns:ds="http://schemas.openxmlformats.org/officeDocument/2006/customXml" ds:itemID="{688935AB-CCBE-4872-9BCB-FEBF7C107B8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EF3C509-FFA0-48C3-93EA-1E09CC8BEC5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F58787B-14CE-4790-80C4-699338D613C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9</vt:i4>
      </vt:variant>
    </vt:vector>
  </HeadingPairs>
  <TitlesOfParts>
    <vt:vector size="19" baseType="lpstr">
      <vt:lpstr>cover</vt:lpstr>
      <vt:lpstr>sumary&amp;directory</vt:lpstr>
      <vt:lpstr>page 1</vt:lpstr>
      <vt:lpstr>page 2</vt:lpstr>
      <vt:lpstr>page 3</vt:lpstr>
      <vt:lpstr>page 4</vt:lpstr>
      <vt:lpstr>page 5</vt:lpstr>
      <vt:lpstr>page 6</vt:lpstr>
      <vt:lpstr>Appendix A</vt:lpstr>
      <vt:lpstr>Appendix B</vt:lpstr>
      <vt:lpstr>'Appendix A'!Print_Area</vt:lpstr>
      <vt:lpstr>'Appendix B'!Print_Area</vt:lpstr>
      <vt:lpstr>cover!Print_Area</vt:lpstr>
      <vt:lpstr>'page 1'!Print_Area</vt:lpstr>
      <vt:lpstr>'page 2'!Print_Area</vt:lpstr>
      <vt:lpstr>'page 3'!Print_Area</vt:lpstr>
      <vt:lpstr>'page 4'!Print_Area</vt:lpstr>
      <vt:lpstr>'page 5'!Print_Area</vt:lpstr>
      <vt:lpstr>'sumary&amp;directory'!Print_Area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Excel A3 Landscape</dc:title>
  <dc:creator>PrasertL</dc:creator>
  <cp:lastModifiedBy>Papawich Pratatayoung-PTTLNG</cp:lastModifiedBy>
  <dcterms:created xsi:type="dcterms:W3CDTF">2015-03-22T11:10:32Z</dcterms:created>
  <dcterms:modified xsi:type="dcterms:W3CDTF">2026-09-30T08:40:22Z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0x010100C17ECC5A5B48B844963A7AAB8C275E62</vt:lpwstr>
  </property>
  <property fmtid="{D5CDD505-2E9C-101B-9397-08002B2CF9AE}" pid="3" name="SysFile">
    <vt:lpwstr>Y</vt:lpwstr>
  </property>
</Properties>
</file>