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ine T2\Doc\EISO\PE LNG template\"/>
    </mc:Choice>
  </mc:AlternateContent>
  <xr:revisionPtr revIDLastSave="0" documentId="13_ncr:1_{6E5B38C3-3D93-422C-BC39-29CC4B989EC6}" xr6:coauthVersionLast="47" xr6:coauthVersionMax="47" xr10:uidLastSave="{00000000-0000-0000-0000-000000000000}"/>
  <bookViews>
    <workbookView xWindow="-108" yWindow="-108" windowWidth="23256" windowHeight="13896" xr2:uid="{827C4DDC-4DD6-4296-8A78-7D92D37517F0}"/>
  </bookViews>
  <sheets>
    <sheet name="F-MO.T2-0002 R02" sheetId="1" r:id="rId1"/>
  </sheets>
  <definedNames>
    <definedName name="_xlnm.Print_Area" localSheetId="0">'F-MO.T2-0002 R02'!$A$1:$I$46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G20" i="1" s="1"/>
  <c r="G25" i="1" l="1"/>
  <c r="G21" i="1"/>
  <c r="G22" i="1"/>
  <c r="G23" i="1"/>
  <c r="G24" i="1"/>
  <c r="G26" i="1"/>
  <c r="G15" i="1"/>
  <c r="G27" i="1"/>
  <c r="F42" i="1"/>
  <c r="G16" i="1"/>
  <c r="G28" i="1"/>
  <c r="G29" i="1"/>
  <c r="G19" i="1"/>
  <c r="G17" i="1"/>
  <c r="G18" i="1"/>
</calcChain>
</file>

<file path=xl/sharedStrings.xml><?xml version="1.0" encoding="utf-8"?>
<sst xmlns="http://schemas.openxmlformats.org/spreadsheetml/2006/main" count="82" uniqueCount="57">
  <si>
    <t>PTT LNG COMPANY LIMITED    
A Subsidiary of PTT Group    
3rd Floor, Energy Complex Building A 555/1    
Vibhavadi Rangsit Rd., Chatuchak, Bangkok 10900 Thailand   .</t>
  </si>
  <si>
    <t>Ship name</t>
  </si>
  <si>
    <t>AL GALAYEL</t>
  </si>
  <si>
    <t>Approved date</t>
  </si>
  <si>
    <t>Approver</t>
  </si>
  <si>
    <t>Papawich P.</t>
  </si>
  <si>
    <t>Ship Shore Compatibility Checklist</t>
  </si>
  <si>
    <t>SHIP'S DETAIL</t>
  </si>
  <si>
    <t xml:space="preserve">  Ship's Name</t>
  </si>
  <si>
    <t xml:space="preserve">  Call sign</t>
  </si>
  <si>
    <t xml:space="preserve">  IMO No.</t>
  </si>
  <si>
    <t xml:space="preserve">  Ship's Owner</t>
  </si>
  <si>
    <t xml:space="preserve">  Flag</t>
  </si>
  <si>
    <t xml:space="preserve">  Year built</t>
  </si>
  <si>
    <t xml:space="preserve">  Ships' Operator</t>
  </si>
  <si>
    <t xml:space="preserve">  Class</t>
  </si>
  <si>
    <t>ITEM</t>
  </si>
  <si>
    <t>DESCRIPTION</t>
  </si>
  <si>
    <t>COMMENT</t>
  </si>
  <si>
    <t>ACCEPT
(YES / NO)</t>
  </si>
  <si>
    <t>CHECKED BY
NAME &amp; DATE</t>
  </si>
  <si>
    <t>Size of the LNG Carrier</t>
  </si>
  <si>
    <t>SEE REMARK 1</t>
  </si>
  <si>
    <t>YES</t>
  </si>
  <si>
    <t>Fender arrangement and flat body</t>
  </si>
  <si>
    <t>SEE REMARK 2</t>
  </si>
  <si>
    <t>Fender contact pressure and Berthing energy</t>
  </si>
  <si>
    <t>N/A</t>
  </si>
  <si>
    <t>Mooring arrangement</t>
  </si>
  <si>
    <t>Gangway landing position</t>
  </si>
  <si>
    <t>Gangway working range and support</t>
  </si>
  <si>
    <t>Unloading Arms compatibility</t>
  </si>
  <si>
    <t>SEE REMARK 4</t>
  </si>
  <si>
    <t>Manifold arrangements</t>
  </si>
  <si>
    <t>Quick Connect Disconnect Coupling</t>
  </si>
  <si>
    <t>Short Distance Piece</t>
  </si>
  <si>
    <t>SEE REMARK 5</t>
  </si>
  <si>
    <t>Cargo equipment &amp; procedure</t>
  </si>
  <si>
    <t>Emergency shut down system</t>
  </si>
  <si>
    <t>Ship Shore Link compatibility</t>
  </si>
  <si>
    <t>Firefighting system</t>
  </si>
  <si>
    <t xml:space="preserve">CTMS device and accuracy </t>
  </si>
  <si>
    <t xml:space="preserve">Remarks: </t>
  </si>
  <si>
    <r>
      <t>6.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Browallia New"/>
        <family val="2"/>
      </rPr>
      <t>WHEN THE VESSEL PROCEEDS TO THE TERMINAL FOR UNLOADING, THE VESSEL’S LIQUID CARGO LINES SHALL BE IN COLD CONDITION (PRE-COOL WORK SHALL BE CONDUCTED) AND READY FOR UNLOADING.</t>
    </r>
  </si>
  <si>
    <r>
      <rPr>
        <sz val="12"/>
        <color rgb="FF000000"/>
        <rFont val="Browallia New"/>
        <family val="2"/>
      </rPr>
      <t>7. The LNG/C LNG FUKUROKUJU was approved with tide condition not exceed than</t>
    </r>
    <r>
      <rPr>
        <sz val="12"/>
        <color rgb="FFFF0000"/>
        <rFont val="Browallia New"/>
        <family val="2"/>
      </rPr>
      <t xml:space="preserve"> 3.0 </t>
    </r>
    <r>
      <rPr>
        <sz val="12"/>
        <color rgb="FF000000"/>
        <rFont val="Browallia New"/>
        <family val="2"/>
      </rPr>
      <t>m. for all alongside</t>
    </r>
  </si>
  <si>
    <t xml:space="preserve">Verified by: </t>
  </si>
  <si>
    <t xml:space="preserve">Date &amp; Time (UTC) </t>
  </si>
  <si>
    <t>1. THE LNG/C AL GALAYEL IS COMPATIBLE WITH LNG MAP TA PHUT TERMINAL 2 BERTH #1.</t>
  </si>
  <si>
    <t>2. THE MASTER SHALL MAINTAIN THE VESSEL’S DRAFT 9.3 - 12.20 m. METERS ALL DURING A VISIT TO LNG MAP TA PHUT TERMINAL 2.</t>
  </si>
  <si>
    <t>3. APPROVED MOORING PATTERN IS FWD : 2/2/2/2(in) :::::::: 2/2/2/2 AFT   (BERTH1).</t>
  </si>
  <si>
    <t>4. THE MAXIMUM UNLOADING RATE IS 14342 m3/hr REFER TO THE CONFIRMATION LIST.</t>
  </si>
  <si>
    <t>KCP 4 S.A.</t>
  </si>
  <si>
    <t>QATARENERGY TRADING LLC</t>
  </si>
  <si>
    <t>5LWJ5</t>
  </si>
  <si>
    <t>Liberia</t>
  </si>
  <si>
    <t>BV, KR</t>
  </si>
  <si>
    <r>
      <t>5.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Browallia New"/>
        <family val="2"/>
      </rPr>
      <t>THE SHORT DISTANCE PIECE (SDP) ONBOARD SHALL BE COMPATIBLE WITH THE TERMINAL REQUIREMENT REFER TO THE SDP DRAWING IN THE CONFIRMATION LIST.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</si>
</sst>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99"/>
      <name val="Browallia New"/>
      <family val="2"/>
    </font>
    <font>
      <sz val="11"/>
      <color theme="3" tint="0.249977111117893"/>
      <name val="Aptos Narrow"/>
      <family val="2"/>
      <scheme val="minor"/>
    </font>
    <font>
      <b/>
      <u/>
      <sz val="26"/>
      <color theme="1"/>
      <name val="Browallia New"/>
      <family val="2"/>
    </font>
    <font>
      <b/>
      <sz val="16"/>
      <color theme="1"/>
      <name val="Browallia New"/>
      <family val="2"/>
    </font>
    <font>
      <sz val="16"/>
      <color theme="1"/>
      <name val="Browallia New"/>
      <family val="2"/>
    </font>
    <font>
      <sz val="12"/>
      <color theme="1"/>
      <name val="Browallia New"/>
      <family val="2"/>
    </font>
    <font>
      <b/>
      <sz val="12"/>
      <color theme="1"/>
      <name val="Browallia New"/>
      <family val="2"/>
    </font>
    <font>
      <sz val="12"/>
      <color rgb="FF000000"/>
      <name val="Browallia New"/>
      <family val="2"/>
    </font>
    <font>
      <b/>
      <sz val="10"/>
      <color theme="1"/>
      <name val="Aptos Narrow"/>
      <family val="2"/>
      <scheme val="minor"/>
    </font>
    <font>
      <b/>
      <sz val="14"/>
      <color theme="1"/>
      <name val="Browallia New"/>
      <family val="2"/>
    </font>
    <font>
      <sz val="7"/>
      <color theme="1"/>
      <name val="Times New Roman"/>
      <family val="1"/>
    </font>
    <font>
      <sz val="12"/>
      <color rgb="FFFF0000"/>
      <name val="Browallia New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0" borderId="4" xfId="0" applyBorder="1"/>
    <xf numFmtId="0" fontId="0" fillId="0" borderId="5" xfId="0" applyBorder="1"/>
    <xf numFmtId="0" fontId="7" fillId="5" borderId="9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0" fillId="0" borderId="10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0" fillId="0" borderId="10" xfId="0" applyNumberFormat="1" applyBorder="1" applyAlignment="1">
      <alignment horizontal="center" vertical="center"/>
    </xf>
    <xf numFmtId="0" fontId="9" fillId="5" borderId="9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726301</xdr:colOff>
      <xdr:row>37</xdr:row>
      <xdr:rowOff>266949</xdr:rowOff>
    </xdr:from>
    <xdr:to>
      <xdr:col>7</xdr:col>
      <xdr:colOff>135752</xdr:colOff>
      <xdr:row>40</xdr:row>
      <xdr:rowOff>17725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31972-523B-455A-80BA-1414AA9B31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5961" y="8968989"/>
          <a:ext cx="1200151" cy="421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60546</xdr:colOff>
      <xdr:row>0</xdr:row>
      <xdr:rowOff>180975</xdr:rowOff>
    </xdr:from>
    <xdr:to>
      <xdr:col>3</xdr:col>
      <xdr:colOff>552201</xdr:colOff>
      <xdr:row>4</xdr:row>
      <xdr:rowOff>83930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59CA6-6264-4053-95D6-A4996E86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9606" y="180975"/>
          <a:ext cx="1383195" cy="634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25D8BD-056B-490E-A435-8177C40AD351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B0B0-31AE-4DA9-906D-88EC5116B30B}">
  <dimension ref="A1:R46"/>
  <sheetViews>
    <sheetView tabSelected="1" view="pageLayout" topLeftCell="A21" zoomScale="115" zoomScaleNormal="100" zoomScalePageLayoutView="115" workbookViewId="0">
      <selection activeCell="B37" sqref="B37:H37"/>
    </sheetView>
  </sheetViews>
  <sheetFormatPr defaultRowHeight="14.4" x14ac:dyDescent="0.3"/>
  <cols>
    <col min="1" max="1" width="1.33203125" customWidth="1"/>
    <col min="2" max="2" width="5.88671875" customWidth="1"/>
    <col min="3" max="3" width="6.5546875" customWidth="1"/>
    <col min="4" max="4" width="31" customWidth="1"/>
    <col min="5" max="5" width="23.6640625" customWidth="1"/>
    <col min="6" max="6" width="13.109375" customWidth="1"/>
    <col min="7" max="7" width="11.88671875" customWidth="1"/>
    <col min="8" max="8" width="12.5546875" customWidth="1"/>
    <col min="9" max="9" width="1.6640625" customWidth="1"/>
    <col min="11" max="11" width="12.44140625" bestFit="1" customWidth="1"/>
    <col min="12" max="12" width="14.33203125" bestFit="1" customWidth="1"/>
  </cols>
  <sheetData>
    <row r="1" spans="1:12" x14ac:dyDescent="0.3">
      <c r="A1" s="30" t="s">
        <v>0</v>
      </c>
      <c r="B1" s="31"/>
      <c r="C1" s="31"/>
      <c r="D1" s="31"/>
      <c r="E1" s="31"/>
      <c r="F1" s="31"/>
      <c r="G1" s="31"/>
      <c r="H1" s="31"/>
      <c r="I1" s="32"/>
    </row>
    <row r="2" spans="1:12" x14ac:dyDescent="0.3">
      <c r="A2" s="33"/>
      <c r="B2" s="34"/>
      <c r="C2" s="34"/>
      <c r="D2" s="34"/>
      <c r="E2" s="34"/>
      <c r="F2" s="34"/>
      <c r="G2" s="34"/>
      <c r="H2" s="34"/>
      <c r="I2" s="35"/>
    </row>
    <row r="3" spans="1:12" x14ac:dyDescent="0.3">
      <c r="A3" s="33"/>
      <c r="B3" s="34"/>
      <c r="C3" s="34"/>
      <c r="D3" s="34"/>
      <c r="E3" s="34"/>
      <c r="F3" s="34"/>
      <c r="G3" s="34"/>
      <c r="H3" s="34"/>
      <c r="I3" s="35"/>
      <c r="K3" s="1" t="s">
        <v>1</v>
      </c>
      <c r="L3" t="s">
        <v>2</v>
      </c>
    </row>
    <row r="4" spans="1:12" x14ac:dyDescent="0.3">
      <c r="A4" s="33"/>
      <c r="B4" s="34"/>
      <c r="C4" s="34"/>
      <c r="D4" s="34"/>
      <c r="E4" s="34"/>
      <c r="F4" s="34"/>
      <c r="G4" s="34"/>
      <c r="H4" s="34"/>
      <c r="I4" s="35"/>
      <c r="K4" s="2" t="s">
        <v>3</v>
      </c>
      <c r="L4" s="3">
        <f ca="1">TODAY()</f>
        <v>46294</v>
      </c>
    </row>
    <row r="5" spans="1:12" x14ac:dyDescent="0.3">
      <c r="A5" s="33"/>
      <c r="B5" s="34"/>
      <c r="C5" s="34"/>
      <c r="D5" s="34"/>
      <c r="E5" s="34"/>
      <c r="F5" s="34"/>
      <c r="G5" s="34"/>
      <c r="H5" s="34"/>
      <c r="I5" s="35"/>
      <c r="K5" s="1" t="s">
        <v>4</v>
      </c>
      <c r="L5" t="s">
        <v>5</v>
      </c>
    </row>
    <row r="6" spans="1:12" ht="14.4" customHeight="1" x14ac:dyDescent="0.3">
      <c r="A6" s="36" t="s">
        <v>6</v>
      </c>
      <c r="B6" s="37"/>
      <c r="C6" s="37"/>
      <c r="D6" s="37"/>
      <c r="E6" s="37"/>
      <c r="F6" s="37"/>
      <c r="G6" s="37"/>
      <c r="H6" s="37"/>
      <c r="I6" s="38"/>
    </row>
    <row r="7" spans="1:12" ht="14.4" customHeight="1" x14ac:dyDescent="0.3">
      <c r="A7" s="36"/>
      <c r="B7" s="37"/>
      <c r="C7" s="37"/>
      <c r="D7" s="37"/>
      <c r="E7" s="37"/>
      <c r="F7" s="37"/>
      <c r="G7" s="37"/>
      <c r="H7" s="37"/>
      <c r="I7" s="38"/>
    </row>
    <row r="8" spans="1:12" ht="2.4" customHeight="1" x14ac:dyDescent="0.3">
      <c r="A8" s="36"/>
      <c r="B8" s="37"/>
      <c r="C8" s="37"/>
      <c r="D8" s="37"/>
      <c r="E8" s="37"/>
      <c r="F8" s="37"/>
      <c r="G8" s="37"/>
      <c r="H8" s="37"/>
      <c r="I8" s="38"/>
    </row>
    <row r="9" spans="1:12" ht="24.6" customHeight="1" x14ac:dyDescent="0.65">
      <c r="A9" s="4"/>
      <c r="B9" s="39" t="s">
        <v>7</v>
      </c>
      <c r="C9" s="40"/>
      <c r="D9" s="40"/>
      <c r="E9" s="40"/>
      <c r="F9" s="40"/>
      <c r="G9" s="40"/>
      <c r="H9" s="41"/>
      <c r="I9" s="5"/>
    </row>
    <row r="10" spans="1:12" ht="20.399999999999999" customHeight="1" x14ac:dyDescent="0.3">
      <c r="A10" s="4"/>
      <c r="B10" s="42" t="s">
        <v>8</v>
      </c>
      <c r="C10" s="42"/>
      <c r="D10" s="7" t="s">
        <v>2</v>
      </c>
      <c r="E10" s="6" t="s">
        <v>9</v>
      </c>
      <c r="F10" s="8" t="s">
        <v>53</v>
      </c>
      <c r="G10" s="6" t="s">
        <v>10</v>
      </c>
      <c r="H10" s="9">
        <v>9986104</v>
      </c>
      <c r="I10" s="5"/>
    </row>
    <row r="11" spans="1:12" ht="20.399999999999999" customHeight="1" x14ac:dyDescent="0.3">
      <c r="A11" s="4"/>
      <c r="B11" s="42" t="s">
        <v>11</v>
      </c>
      <c r="C11" s="42"/>
      <c r="D11" s="7" t="s">
        <v>51</v>
      </c>
      <c r="E11" s="6" t="s">
        <v>12</v>
      </c>
      <c r="F11" s="8" t="s">
        <v>54</v>
      </c>
      <c r="G11" s="6" t="s">
        <v>13</v>
      </c>
      <c r="H11" s="9">
        <v>2025</v>
      </c>
      <c r="I11" s="5"/>
    </row>
    <row r="12" spans="1:12" ht="20.399999999999999" customHeight="1" x14ac:dyDescent="0.3">
      <c r="A12" s="4"/>
      <c r="B12" s="42" t="s">
        <v>14</v>
      </c>
      <c r="C12" s="42"/>
      <c r="D12" s="7" t="s">
        <v>52</v>
      </c>
      <c r="E12" s="6" t="s">
        <v>15</v>
      </c>
      <c r="F12" s="43" t="s">
        <v>55</v>
      </c>
      <c r="G12" s="44"/>
      <c r="H12" s="45"/>
      <c r="I12" s="5"/>
    </row>
    <row r="13" spans="1:12" x14ac:dyDescent="0.3">
      <c r="A13" s="4"/>
      <c r="I13" s="5"/>
    </row>
    <row r="14" spans="1:12" ht="31.2" customHeight="1" x14ac:dyDescent="0.3">
      <c r="A14" s="4"/>
      <c r="B14" s="10" t="s">
        <v>16</v>
      </c>
      <c r="C14" s="28" t="s">
        <v>17</v>
      </c>
      <c r="D14" s="28"/>
      <c r="E14" s="10" t="s">
        <v>18</v>
      </c>
      <c r="F14" s="11" t="s">
        <v>19</v>
      </c>
      <c r="G14" s="29" t="s">
        <v>20</v>
      </c>
      <c r="H14" s="29"/>
      <c r="I14" s="5"/>
    </row>
    <row r="15" spans="1:12" ht="17.399999999999999" x14ac:dyDescent="0.3">
      <c r="A15" s="4"/>
      <c r="B15" s="12">
        <v>1</v>
      </c>
      <c r="C15" s="26" t="s">
        <v>21</v>
      </c>
      <c r="D15" s="26"/>
      <c r="E15" s="13" t="s">
        <v>22</v>
      </c>
      <c r="F15" s="14" t="s">
        <v>23</v>
      </c>
      <c r="G15" s="27" t="str">
        <f ca="1">$L$5&amp;" / "&amp;TEXT($L$4,"dd-mmm-yy")</f>
        <v>Papawich P. / 29-Sep-26</v>
      </c>
      <c r="H15" s="27"/>
      <c r="I15" s="5"/>
    </row>
    <row r="16" spans="1:12" ht="17.399999999999999" x14ac:dyDescent="0.3">
      <c r="A16" s="4"/>
      <c r="B16" s="12">
        <v>2</v>
      </c>
      <c r="C16" s="26" t="s">
        <v>24</v>
      </c>
      <c r="D16" s="26"/>
      <c r="E16" s="13" t="s">
        <v>25</v>
      </c>
      <c r="F16" s="14" t="s">
        <v>23</v>
      </c>
      <c r="G16" s="27" t="str">
        <f t="shared" ref="G16:G28" ca="1" si="0">$L$5&amp;" / "&amp;TEXT($L$4,"dd-mmm-yy")</f>
        <v>Papawich P. / 29-Sep-26</v>
      </c>
      <c r="H16" s="27"/>
      <c r="I16" s="5"/>
    </row>
    <row r="17" spans="1:9" ht="17.399999999999999" x14ac:dyDescent="0.3">
      <c r="A17" s="4"/>
      <c r="B17" s="12">
        <v>3</v>
      </c>
      <c r="C17" s="26" t="s">
        <v>26</v>
      </c>
      <c r="D17" s="26"/>
      <c r="E17" s="13" t="s">
        <v>27</v>
      </c>
      <c r="F17" s="14" t="s">
        <v>23</v>
      </c>
      <c r="G17" s="27" t="str">
        <f t="shared" ca="1" si="0"/>
        <v>Papawich P. / 29-Sep-26</v>
      </c>
      <c r="H17" s="27"/>
      <c r="I17" s="5"/>
    </row>
    <row r="18" spans="1:9" ht="17.399999999999999" x14ac:dyDescent="0.3">
      <c r="A18" s="4"/>
      <c r="B18" s="12">
        <v>4</v>
      </c>
      <c r="C18" s="26" t="s">
        <v>28</v>
      </c>
      <c r="D18" s="26"/>
      <c r="E18" s="13" t="s">
        <v>27</v>
      </c>
      <c r="F18" s="14" t="s">
        <v>23</v>
      </c>
      <c r="G18" s="27" t="str">
        <f t="shared" ca="1" si="0"/>
        <v>Papawich P. / 29-Sep-26</v>
      </c>
      <c r="H18" s="27"/>
      <c r="I18" s="5"/>
    </row>
    <row r="19" spans="1:9" ht="17.399999999999999" x14ac:dyDescent="0.3">
      <c r="A19" s="4"/>
      <c r="B19" s="12">
        <v>5</v>
      </c>
      <c r="C19" s="26" t="s">
        <v>29</v>
      </c>
      <c r="D19" s="26"/>
      <c r="E19" s="13" t="s">
        <v>27</v>
      </c>
      <c r="F19" s="14" t="s">
        <v>23</v>
      </c>
      <c r="G19" s="27" t="str">
        <f t="shared" ca="1" si="0"/>
        <v>Papawich P. / 29-Sep-26</v>
      </c>
      <c r="H19" s="27"/>
      <c r="I19" s="5"/>
    </row>
    <row r="20" spans="1:9" ht="17.399999999999999" x14ac:dyDescent="0.3">
      <c r="A20" s="4"/>
      <c r="B20" s="12">
        <v>6</v>
      </c>
      <c r="C20" s="26" t="s">
        <v>30</v>
      </c>
      <c r="D20" s="26"/>
      <c r="E20" s="13" t="s">
        <v>27</v>
      </c>
      <c r="F20" s="14" t="s">
        <v>23</v>
      </c>
      <c r="G20" s="27" t="str">
        <f t="shared" ca="1" si="0"/>
        <v>Papawich P. / 29-Sep-26</v>
      </c>
      <c r="H20" s="27"/>
      <c r="I20" s="5"/>
    </row>
    <row r="21" spans="1:9" ht="17.399999999999999" x14ac:dyDescent="0.3">
      <c r="A21" s="4"/>
      <c r="B21" s="12">
        <v>7</v>
      </c>
      <c r="C21" s="26" t="s">
        <v>31</v>
      </c>
      <c r="D21" s="26"/>
      <c r="E21" s="13" t="s">
        <v>32</v>
      </c>
      <c r="F21" s="14" t="s">
        <v>23</v>
      </c>
      <c r="G21" s="27" t="str">
        <f t="shared" ca="1" si="0"/>
        <v>Papawich P. / 29-Sep-26</v>
      </c>
      <c r="H21" s="27"/>
      <c r="I21" s="5"/>
    </row>
    <row r="22" spans="1:9" ht="17.399999999999999" x14ac:dyDescent="0.3">
      <c r="A22" s="4"/>
      <c r="B22" s="12">
        <v>8</v>
      </c>
      <c r="C22" s="26" t="s">
        <v>33</v>
      </c>
      <c r="D22" s="26"/>
      <c r="E22" s="13" t="s">
        <v>27</v>
      </c>
      <c r="F22" s="14" t="s">
        <v>23</v>
      </c>
      <c r="G22" s="27" t="str">
        <f t="shared" ca="1" si="0"/>
        <v>Papawich P. / 29-Sep-26</v>
      </c>
      <c r="H22" s="27"/>
      <c r="I22" s="5"/>
    </row>
    <row r="23" spans="1:9" ht="17.399999999999999" x14ac:dyDescent="0.3">
      <c r="A23" s="4"/>
      <c r="B23" s="12">
        <v>9</v>
      </c>
      <c r="C23" s="26" t="s">
        <v>34</v>
      </c>
      <c r="D23" s="26"/>
      <c r="E23" s="13" t="s">
        <v>27</v>
      </c>
      <c r="F23" s="14" t="s">
        <v>23</v>
      </c>
      <c r="G23" s="27" t="str">
        <f t="shared" ca="1" si="0"/>
        <v>Papawich P. / 29-Sep-26</v>
      </c>
      <c r="H23" s="27"/>
      <c r="I23" s="5"/>
    </row>
    <row r="24" spans="1:9" ht="17.399999999999999" x14ac:dyDescent="0.3">
      <c r="A24" s="4"/>
      <c r="B24" s="12">
        <v>10</v>
      </c>
      <c r="C24" s="26" t="s">
        <v>35</v>
      </c>
      <c r="D24" s="26"/>
      <c r="E24" s="13" t="s">
        <v>36</v>
      </c>
      <c r="F24" s="14" t="s">
        <v>23</v>
      </c>
      <c r="G24" s="27" t="str">
        <f t="shared" ca="1" si="0"/>
        <v>Papawich P. / 29-Sep-26</v>
      </c>
      <c r="H24" s="27"/>
      <c r="I24" s="5"/>
    </row>
    <row r="25" spans="1:9" ht="17.399999999999999" x14ac:dyDescent="0.3">
      <c r="A25" s="4"/>
      <c r="B25" s="12">
        <v>11</v>
      </c>
      <c r="C25" s="26" t="s">
        <v>37</v>
      </c>
      <c r="D25" s="26"/>
      <c r="E25" s="13" t="s">
        <v>27</v>
      </c>
      <c r="F25" s="14" t="s">
        <v>23</v>
      </c>
      <c r="G25" s="27" t="str">
        <f t="shared" ca="1" si="0"/>
        <v>Papawich P. / 29-Sep-26</v>
      </c>
      <c r="H25" s="27"/>
      <c r="I25" s="5"/>
    </row>
    <row r="26" spans="1:9" ht="17.399999999999999" x14ac:dyDescent="0.3">
      <c r="A26" s="4"/>
      <c r="B26" s="12">
        <v>12</v>
      </c>
      <c r="C26" s="26" t="s">
        <v>38</v>
      </c>
      <c r="D26" s="26"/>
      <c r="E26" s="13" t="s">
        <v>27</v>
      </c>
      <c r="F26" s="14" t="s">
        <v>23</v>
      </c>
      <c r="G26" s="27" t="str">
        <f t="shared" ca="1" si="0"/>
        <v>Papawich P. / 29-Sep-26</v>
      </c>
      <c r="H26" s="27"/>
      <c r="I26" s="5"/>
    </row>
    <row r="27" spans="1:9" ht="17.399999999999999" x14ac:dyDescent="0.3">
      <c r="A27" s="4"/>
      <c r="B27" s="12">
        <v>13</v>
      </c>
      <c r="C27" s="26" t="s">
        <v>39</v>
      </c>
      <c r="D27" s="26"/>
      <c r="E27" s="13" t="s">
        <v>27</v>
      </c>
      <c r="F27" s="14" t="s">
        <v>23</v>
      </c>
      <c r="G27" s="27" t="str">
        <f t="shared" ca="1" si="0"/>
        <v>Papawich P. / 29-Sep-26</v>
      </c>
      <c r="H27" s="27"/>
      <c r="I27" s="5"/>
    </row>
    <row r="28" spans="1:9" ht="17.399999999999999" x14ac:dyDescent="0.3">
      <c r="A28" s="4"/>
      <c r="B28" s="12">
        <v>14</v>
      </c>
      <c r="C28" s="26" t="s">
        <v>40</v>
      </c>
      <c r="D28" s="26"/>
      <c r="E28" s="13" t="s">
        <v>27</v>
      </c>
      <c r="F28" s="14" t="s">
        <v>23</v>
      </c>
      <c r="G28" s="27" t="str">
        <f t="shared" ca="1" si="0"/>
        <v>Papawich P. / 29-Sep-26</v>
      </c>
      <c r="H28" s="27"/>
      <c r="I28" s="5"/>
    </row>
    <row r="29" spans="1:9" ht="17.399999999999999" x14ac:dyDescent="0.3">
      <c r="A29" s="4"/>
      <c r="B29" s="12">
        <v>15</v>
      </c>
      <c r="C29" s="26" t="s">
        <v>41</v>
      </c>
      <c r="D29" s="26"/>
      <c r="E29" s="13" t="s">
        <v>27</v>
      </c>
      <c r="F29" s="14" t="s">
        <v>23</v>
      </c>
      <c r="G29" s="27" t="str">
        <f ca="1">$L$5&amp;" / "&amp;TEXT($L$4,"dd-mmm-yy")</f>
        <v>Papawich P. / 29-Sep-26</v>
      </c>
      <c r="H29" s="27"/>
      <c r="I29" s="5"/>
    </row>
    <row r="30" spans="1:9" x14ac:dyDescent="0.3">
      <c r="A30" s="4"/>
      <c r="I30" s="5"/>
    </row>
    <row r="31" spans="1:9" ht="20.399999999999999" x14ac:dyDescent="0.3">
      <c r="A31" s="4"/>
      <c r="B31" s="15" t="s">
        <v>42</v>
      </c>
      <c r="I31" s="5"/>
    </row>
    <row r="32" spans="1:9" ht="22.95" customHeight="1" x14ac:dyDescent="0.3">
      <c r="A32" s="4"/>
      <c r="B32" s="24" t="s">
        <v>47</v>
      </c>
      <c r="C32" s="24"/>
      <c r="D32" s="24"/>
      <c r="E32" s="24"/>
      <c r="F32" s="24"/>
      <c r="G32" s="24"/>
      <c r="H32" s="24"/>
      <c r="I32" s="5"/>
    </row>
    <row r="33" spans="1:18" ht="22.95" customHeight="1" x14ac:dyDescent="0.3">
      <c r="A33" s="4"/>
      <c r="B33" s="23" t="s">
        <v>48</v>
      </c>
      <c r="C33" s="23"/>
      <c r="D33" s="23"/>
      <c r="E33" s="23"/>
      <c r="F33" s="23"/>
      <c r="G33" s="23"/>
      <c r="H33" s="23"/>
      <c r="I33" s="5"/>
    </row>
    <row r="34" spans="1:18" ht="22.95" customHeight="1" x14ac:dyDescent="0.3">
      <c r="A34" s="4"/>
      <c r="B34" s="23" t="s">
        <v>49</v>
      </c>
      <c r="C34" s="23"/>
      <c r="D34" s="23"/>
      <c r="E34" s="23"/>
      <c r="F34" s="23"/>
      <c r="G34" s="23"/>
      <c r="H34" s="23"/>
      <c r="I34" s="5"/>
    </row>
    <row r="35" spans="1:18" ht="22.95" customHeight="1" x14ac:dyDescent="0.3">
      <c r="A35" s="4"/>
      <c r="B35" s="23" t="s">
        <v>50</v>
      </c>
      <c r="C35" s="23"/>
      <c r="D35" s="23"/>
      <c r="E35" s="23"/>
      <c r="F35" s="23"/>
      <c r="G35" s="23"/>
      <c r="H35" s="23"/>
      <c r="I35" s="5"/>
    </row>
    <row r="36" spans="1:18" ht="36.6" customHeight="1" x14ac:dyDescent="0.3">
      <c r="A36" s="4"/>
      <c r="B36" s="23" t="s">
        <v>56</v>
      </c>
      <c r="C36" s="23"/>
      <c r="D36" s="23"/>
      <c r="E36" s="23"/>
      <c r="F36" s="23"/>
      <c r="G36" s="23"/>
      <c r="H36" s="23"/>
      <c r="I36" s="5"/>
    </row>
    <row r="37" spans="1:18" ht="30.6" customHeight="1" x14ac:dyDescent="0.3">
      <c r="A37" s="4"/>
      <c r="B37" s="23" t="s">
        <v>43</v>
      </c>
      <c r="C37" s="23"/>
      <c r="D37" s="23"/>
      <c r="E37" s="23"/>
      <c r="F37" s="23"/>
      <c r="G37" s="23"/>
      <c r="H37" s="23"/>
      <c r="I37" s="5"/>
    </row>
    <row r="38" spans="1:18" ht="17.399999999999999" x14ac:dyDescent="0.3">
      <c r="A38" s="4"/>
      <c r="B38" s="23"/>
      <c r="C38" s="23"/>
      <c r="D38" s="23"/>
      <c r="E38" s="23"/>
      <c r="F38" s="23"/>
      <c r="G38" s="23"/>
      <c r="H38" s="23"/>
      <c r="I38" s="5"/>
      <c r="L38" s="24" t="s">
        <v>44</v>
      </c>
      <c r="M38" s="24"/>
      <c r="N38" s="24"/>
      <c r="O38" s="24"/>
      <c r="P38" s="24"/>
      <c r="Q38" s="24"/>
      <c r="R38" s="24"/>
    </row>
    <row r="39" spans="1:18" ht="14.4" customHeight="1" x14ac:dyDescent="0.3">
      <c r="A39" s="4"/>
      <c r="F39" s="16"/>
      <c r="G39" s="16"/>
      <c r="H39" s="16"/>
      <c r="I39" s="5"/>
    </row>
    <row r="40" spans="1:18" ht="17.399999999999999" customHeight="1" x14ac:dyDescent="0.45">
      <c r="A40" s="4"/>
      <c r="E40" s="17" t="s">
        <v>45</v>
      </c>
      <c r="F40" s="18"/>
      <c r="G40" s="18"/>
      <c r="H40" s="18"/>
      <c r="I40" s="5"/>
    </row>
    <row r="41" spans="1:18" x14ac:dyDescent="0.3">
      <c r="A41" s="4"/>
      <c r="I41" s="5"/>
    </row>
    <row r="42" spans="1:18" ht="17.399999999999999" x14ac:dyDescent="0.45">
      <c r="A42" s="4"/>
      <c r="E42" s="17" t="s">
        <v>46</v>
      </c>
      <c r="F42" s="25">
        <f ca="1">L4</f>
        <v>46294</v>
      </c>
      <c r="G42" s="25"/>
      <c r="H42" s="25"/>
      <c r="I42" s="5"/>
    </row>
    <row r="43" spans="1:18" ht="17.399999999999999" x14ac:dyDescent="0.45">
      <c r="A43" s="4"/>
      <c r="E43" s="17"/>
      <c r="F43" s="19"/>
      <c r="G43" s="19"/>
      <c r="H43" s="19"/>
      <c r="I43" s="5"/>
    </row>
    <row r="44" spans="1:18" ht="17.399999999999999" x14ac:dyDescent="0.45">
      <c r="A44" s="4"/>
      <c r="E44" s="17"/>
      <c r="F44" s="19"/>
      <c r="G44" s="19"/>
      <c r="H44" s="19"/>
      <c r="I44" s="5"/>
    </row>
    <row r="45" spans="1:18" ht="16.2" customHeight="1" x14ac:dyDescent="0.3">
      <c r="A45" s="4"/>
      <c r="I45" s="5"/>
    </row>
    <row r="46" spans="1:18" ht="15" thickBot="1" x14ac:dyDescent="0.35">
      <c r="A46" s="20"/>
      <c r="B46" s="21"/>
      <c r="C46" s="21"/>
      <c r="D46" s="21"/>
      <c r="E46" s="21"/>
      <c r="F46" s="21"/>
      <c r="G46" s="21"/>
      <c r="H46" s="21"/>
      <c r="I46" s="22"/>
    </row>
  </sheetData>
  <mergeCells count="48">
    <mergeCell ref="B12:C12"/>
    <mergeCell ref="F12:H12"/>
    <mergeCell ref="A1:I5"/>
    <mergeCell ref="A6:I8"/>
    <mergeCell ref="B9:H9"/>
    <mergeCell ref="B10:C10"/>
    <mergeCell ref="B11:C11"/>
    <mergeCell ref="C14:D14"/>
    <mergeCell ref="G14:H14"/>
    <mergeCell ref="C15:D15"/>
    <mergeCell ref="G15:H15"/>
    <mergeCell ref="C16:D16"/>
    <mergeCell ref="G16:H16"/>
    <mergeCell ref="C17:D17"/>
    <mergeCell ref="G17:H17"/>
    <mergeCell ref="C18:D18"/>
    <mergeCell ref="G18:H18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C25:D25"/>
    <mergeCell ref="G25:H25"/>
    <mergeCell ref="B35:H35"/>
    <mergeCell ref="C26:D26"/>
    <mergeCell ref="G26:H26"/>
    <mergeCell ref="C27:D27"/>
    <mergeCell ref="G27:H27"/>
    <mergeCell ref="C28:D28"/>
    <mergeCell ref="G28:H28"/>
    <mergeCell ref="C29:D29"/>
    <mergeCell ref="G29:H29"/>
    <mergeCell ref="B32:H32"/>
    <mergeCell ref="B33:H33"/>
    <mergeCell ref="B34:H34"/>
    <mergeCell ref="B36:H36"/>
    <mergeCell ref="B37:H37"/>
    <mergeCell ref="B38:H38"/>
    <mergeCell ref="L38:R38"/>
    <mergeCell ref="F42:H42"/>
  </mergeCells>
  <dataValidations count="2">
    <dataValidation type="list" allowBlank="1" showInputMessage="1" showErrorMessage="1" sqref="L5" xr:uid="{EE211A3B-CE66-4C10-9FFA-18DE18DDDB70}">
      <formula1>"Papawich P., Narudech S."</formula1>
    </dataValidation>
    <dataValidation type="list" allowBlank="1" showInputMessage="1" showErrorMessage="1" sqref="F15:F29" xr:uid="{C02367E9-748E-4FA6-B93E-3F7A7D3C5588}">
      <formula1>"YES, NO"</formula1>
    </dataValidation>
  </dataValidations>
  <pageMargins left="0.7" right="0.7" top="0.75" bottom="0.75" header="0.3" footer="0.3"/>
  <pageSetup paperSize="9" scale="81" orientation="portrait" r:id="rId1"/>
  <headerFooter>
    <oddFooter>&amp;LPELNG-F-MO.T2-0028 Rev. 00&amp;REffective Date: 22/04/2026</oddFoot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F-MO.T2-0002 R02</vt:lpstr>
      <vt:lpstr>'F-MO.T2-0002 R02'!Print_Area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Papawich Pratatayoung-PTTLNG</dc:creator>
  <cp:lastModifiedBy>Papawich Pratatayoung-PTTLNG</cp:lastModifiedBy>
  <dcterms:created xsi:type="dcterms:W3CDTF">2026-09-29T09:39:30Z</dcterms:created>
  <dcterms:modified xsi:type="dcterms:W3CDTF">2026-09-29T09:43:59Z</dcterms:modified>
</cp:coreProperties>
</file>